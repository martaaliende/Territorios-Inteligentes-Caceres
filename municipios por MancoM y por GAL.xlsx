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" sheetId="1" r:id="rId4"/>
    <sheet state="visible" name="Hoja1" sheetId="2" r:id="rId5"/>
    <sheet state="visible" name="Hoja3" sheetId="3" r:id="rId6"/>
    <sheet state="visible" name="Hoja2" sheetId="4" r:id="rId7"/>
  </sheets>
  <definedNames>
    <definedName name="habs">Hoja3!$A$2:$B$224</definedName>
    <definedName name="data01">Hoja1!$A$1:$J$224</definedName>
    <definedName name="data02">Hoja1!$A$1:$J$224</definedName>
    <definedName hidden="1" localSheetId="0" name="_xlnm._FilterDatabase">Municipios!$A$1:$Z$1000</definedName>
    <definedName hidden="1" localSheetId="1" name="_xlnm._FilterDatabase">Hoja1!$A$1:$Z$1000</definedName>
    <definedName hidden="1" localSheetId="3" name="_xlnm._FilterDatabase">Hoja2!$B$2:$D$19</definedName>
  </definedNames>
  <calcPr/>
  <extLst>
    <ext uri="GoogleSheetsCustomDataVersion2">
      <go:sheetsCustomData xmlns:go="http://customooxmlschemas.google.com/" r:id="rId8" roundtripDataChecksum="aqgWWRyUlWahp5BTgrD43uh/kyBH0wcAJ57Aq8/Y2so="/>
    </ext>
  </extLst>
</workbook>
</file>

<file path=xl/sharedStrings.xml><?xml version="1.0" encoding="utf-8"?>
<sst xmlns="http://schemas.openxmlformats.org/spreadsheetml/2006/main" count="4301" uniqueCount="746">
  <si>
    <t xml:space="preserve">Datos obtenidos del Observatorio socioeconómico provincial 
del Área de Desarrollo Local
de Diputación de Cáceres
</t>
  </si>
  <si>
    <r>
      <rPr>
        <rFont val="Aptos Narrow"/>
        <b/>
        <color rgb="FF000000"/>
        <sz val="12.0"/>
      </rPr>
      <t>INE</t>
    </r>
  </si>
  <si>
    <r>
      <rPr>
        <rFont val="Aptos Narrow"/>
        <b/>
        <color rgb="FF000000"/>
        <sz val="12.0"/>
      </rPr>
      <t>Municipio</t>
    </r>
  </si>
  <si>
    <r>
      <rPr>
        <rFont val="Aptos Narrow"/>
        <b/>
        <color rgb="FF000000"/>
        <sz val="12.0"/>
      </rPr>
      <t>Mancomunidad</t>
    </r>
  </si>
  <si>
    <r>
      <rPr>
        <rFont val="Aptos Narrow"/>
        <b/>
        <color rgb="FF000000"/>
        <sz val="12.0"/>
      </rPr>
      <t>Superficie</t>
    </r>
  </si>
  <si>
    <r>
      <rPr>
        <rFont val="Aptos Narrow"/>
        <b/>
        <color rgb="FF000000"/>
        <sz val="12.0"/>
      </rPr>
      <t>Zona de Salud</t>
    </r>
  </si>
  <si>
    <r>
      <rPr>
        <rFont val="Aptos Narrow"/>
        <b/>
        <color rgb="FF000000"/>
        <sz val="12.0"/>
      </rPr>
      <t>Área sanitaria</t>
    </r>
  </si>
  <si>
    <r>
      <rPr>
        <rFont val="Aptos Narrow"/>
        <b/>
        <color rgb="FF000000"/>
        <sz val="12.0"/>
      </rPr>
      <t>Comarca agraria</t>
    </r>
  </si>
  <si>
    <r>
      <rPr>
        <rFont val="Aptos Narrow"/>
        <b/>
        <color rgb="FF000000"/>
        <sz val="12.0"/>
      </rPr>
      <t>Centros de empleo</t>
    </r>
  </si>
  <si>
    <r>
      <rPr>
        <rFont val="Aptos Narrow"/>
        <b/>
        <color rgb="FF000000"/>
        <sz val="12.0"/>
      </rPr>
      <t>Partido judicial</t>
    </r>
  </si>
  <si>
    <r>
      <rPr>
        <rFont val="Aptos Narrow"/>
        <b/>
        <color rgb="FF000000"/>
        <sz val="12.0"/>
      </rPr>
      <t>Grupo de acción local</t>
    </r>
  </si>
  <si>
    <t>10001</t>
  </si>
  <si>
    <t>Abadía</t>
  </si>
  <si>
    <t>Valle de Ambroz</t>
  </si>
  <si>
    <t>45.07</t>
  </si>
  <si>
    <t>Aldeanueva del Camino</t>
  </si>
  <si>
    <t>Plasencia</t>
  </si>
  <si>
    <t>Hervás</t>
  </si>
  <si>
    <t>Asociación para el Desarrollo Integral del Valle del Ambroz (DIVA)</t>
  </si>
  <si>
    <t>10002</t>
  </si>
  <si>
    <t>Abertura</t>
  </si>
  <si>
    <t>Zona Centro</t>
  </si>
  <si>
    <t>62.7</t>
  </si>
  <si>
    <t>Miajadas</t>
  </si>
  <si>
    <t>Cáceres</t>
  </si>
  <si>
    <t>Logrosán</t>
  </si>
  <si>
    <t>Asociación para el Desarrollo Integral de la Comarca de Miajadas-Trujillo (ADICOMT)</t>
  </si>
  <si>
    <t>10003</t>
  </si>
  <si>
    <t>Acebo</t>
  </si>
  <si>
    <t>Sierra de Gata</t>
  </si>
  <si>
    <t>57.02</t>
  </si>
  <si>
    <t>Hoyos</t>
  </si>
  <si>
    <t>Coria</t>
  </si>
  <si>
    <t>Asociación para el Desarrollo Integral de Sierra de gata (ADISGATA)</t>
  </si>
  <si>
    <t>10004</t>
  </si>
  <si>
    <t>Acehúche</t>
  </si>
  <si>
    <t>Rivera de Fresnedosa</t>
  </si>
  <si>
    <t>91.06</t>
  </si>
  <si>
    <t>Ceclavín</t>
  </si>
  <si>
    <t>Brozas</t>
  </si>
  <si>
    <t>Asociación para el Desarrollo del Valle del Alagón (ADESVAL)</t>
  </si>
  <si>
    <t>10005</t>
  </si>
  <si>
    <t>Aceituna</t>
  </si>
  <si>
    <t>Valle del Alagón</t>
  </si>
  <si>
    <t>40.07</t>
  </si>
  <si>
    <t>Montehermoso</t>
  </si>
  <si>
    <t>10006</t>
  </si>
  <si>
    <t>Ahigal</t>
  </si>
  <si>
    <t>Trasierra-Tierras de Granadilla</t>
  </si>
  <si>
    <t>52.07</t>
  </si>
  <si>
    <t>Asociación para el Desarrollo de Trasierra-Tierras de Granadilla (Cáparra)</t>
  </si>
  <si>
    <t>10007</t>
  </si>
  <si>
    <t>Albalá</t>
  </si>
  <si>
    <t>Sierra de Montánchez</t>
  </si>
  <si>
    <t>38.49</t>
  </si>
  <si>
    <t>Valdefuentes</t>
  </si>
  <si>
    <t>Asociación para el Desarrollo Integral de la Comarca de Montánchez y Tamuja (ADISMONTA)</t>
  </si>
  <si>
    <t>10008</t>
  </si>
  <si>
    <t>Alcántara</t>
  </si>
  <si>
    <t>Tajo Salor</t>
  </si>
  <si>
    <t>551.99</t>
  </si>
  <si>
    <t>Valencia de Alcántara</t>
  </si>
  <si>
    <t>Asociación para el Desarrollo Integral de Tajo-Salor - Almonte (TAGUS)</t>
  </si>
  <si>
    <t>10009</t>
  </si>
  <si>
    <t>Alcollarín</t>
  </si>
  <si>
    <t>79.91</t>
  </si>
  <si>
    <t>Zorita</t>
  </si>
  <si>
    <t>10010</t>
  </si>
  <si>
    <t>Alcuéscar</t>
  </si>
  <si>
    <t>108.93</t>
  </si>
  <si>
    <t>10011</t>
  </si>
  <si>
    <t>Aldeacentenera</t>
  </si>
  <si>
    <t>Las Villuercas-Ibores-La Jara</t>
  </si>
  <si>
    <t>110.56</t>
  </si>
  <si>
    <t>Trujillo-Rural</t>
  </si>
  <si>
    <t>Trujillo</t>
  </si>
  <si>
    <t>Asociación para la Promoción y el Desarrollo Rural de las Villuercas (APRODERVI)</t>
  </si>
  <si>
    <t>10012</t>
  </si>
  <si>
    <t>Aldea del Cano</t>
  </si>
  <si>
    <t>28.69</t>
  </si>
  <si>
    <t>10013</t>
  </si>
  <si>
    <t>Aldea del Obispo (La)</t>
  </si>
  <si>
    <t>Comarca de Trujillo</t>
  </si>
  <si>
    <t>37.85</t>
  </si>
  <si>
    <t>Trujillo-Urbano</t>
  </si>
  <si>
    <t>10014</t>
  </si>
  <si>
    <t>Aldeanueva de la Vera</t>
  </si>
  <si>
    <t>La Vera</t>
  </si>
  <si>
    <t>37.6</t>
  </si>
  <si>
    <t>Jaraiz de la Vera</t>
  </si>
  <si>
    <t>Jaraíz de la Vera</t>
  </si>
  <si>
    <t>Navalmoral de la Mata</t>
  </si>
  <si>
    <t>Asociación para el Desarrollo Integral de la Comarca de La Vera (ADICOVER)</t>
  </si>
  <si>
    <t>10015</t>
  </si>
  <si>
    <t>20.05</t>
  </si>
  <si>
    <t>10016</t>
  </si>
  <si>
    <t>Aldehuela de Jerte</t>
  </si>
  <si>
    <t>11.75</t>
  </si>
  <si>
    <t>Plasencia-Sur</t>
  </si>
  <si>
    <t>10017</t>
  </si>
  <si>
    <t>Alía</t>
  </si>
  <si>
    <t>599.51</t>
  </si>
  <si>
    <t>Guadalupe</t>
  </si>
  <si>
    <t>10018</t>
  </si>
  <si>
    <t>Aliseda</t>
  </si>
  <si>
    <t>80.51</t>
  </si>
  <si>
    <t>Arroyo de la Luz</t>
  </si>
  <si>
    <t>10019</t>
  </si>
  <si>
    <t>Almaraz</t>
  </si>
  <si>
    <t>Campo Arañuelo</t>
  </si>
  <si>
    <t>33.9</t>
  </si>
  <si>
    <t>Almarzáz</t>
  </si>
  <si>
    <t>Asociación para el Desarrollo Rural de Campo Arañuelo (ARJABOR)</t>
  </si>
  <si>
    <t>10020</t>
  </si>
  <si>
    <t>Almoharín</t>
  </si>
  <si>
    <t>93.67</t>
  </si>
  <si>
    <t>10021</t>
  </si>
  <si>
    <t>128.05</t>
  </si>
  <si>
    <t>10022</t>
  </si>
  <si>
    <t>Arroyomolinos de la Vera</t>
  </si>
  <si>
    <t>23.19</t>
  </si>
  <si>
    <t>10023</t>
  </si>
  <si>
    <t>Arroyomolinos</t>
  </si>
  <si>
    <t>115.12</t>
  </si>
  <si>
    <t>10024</t>
  </si>
  <si>
    <t>Baños de Montemayor</t>
  </si>
  <si>
    <t>21.97</t>
  </si>
  <si>
    <t>10025</t>
  </si>
  <si>
    <t>Barrado</t>
  </si>
  <si>
    <t>Valle del Jerte</t>
  </si>
  <si>
    <t>21.29</t>
  </si>
  <si>
    <t>Casas del Castañar</t>
  </si>
  <si>
    <t>Sociedad para la Promoción y el Desarrollo del Valle del Jerte (SOPRODEVAJE)</t>
  </si>
  <si>
    <t>10026</t>
  </si>
  <si>
    <t>Belvís de Monroy</t>
  </si>
  <si>
    <t>44.98</t>
  </si>
  <si>
    <t>10027</t>
  </si>
  <si>
    <t>Benquerencia</t>
  </si>
  <si>
    <t>13.31</t>
  </si>
  <si>
    <t>10028</t>
  </si>
  <si>
    <t>Berrocalejo</t>
  </si>
  <si>
    <t>14.27</t>
  </si>
  <si>
    <t>10029</t>
  </si>
  <si>
    <t>Berzocana</t>
  </si>
  <si>
    <t>133.59</t>
  </si>
  <si>
    <t>10030</t>
  </si>
  <si>
    <t>Bohonal de Ibor</t>
  </si>
  <si>
    <t>64.6</t>
  </si>
  <si>
    <t>10031</t>
  </si>
  <si>
    <t>Botija</t>
  </si>
  <si>
    <t>18.82</t>
  </si>
  <si>
    <t>10032</t>
  </si>
  <si>
    <t>398.84</t>
  </si>
  <si>
    <t>Navas del Madroño</t>
  </si>
  <si>
    <t>10033</t>
  </si>
  <si>
    <t>Cabañas del Castillo</t>
  </si>
  <si>
    <t>105.27</t>
  </si>
  <si>
    <t>10034</t>
  </si>
  <si>
    <t>Cabezabellosa</t>
  </si>
  <si>
    <t>33.55</t>
  </si>
  <si>
    <t>Plasencia-Norte</t>
  </si>
  <si>
    <t>10035</t>
  </si>
  <si>
    <t>Cabezuela del Valle</t>
  </si>
  <si>
    <t>56.57</t>
  </si>
  <si>
    <t>10036</t>
  </si>
  <si>
    <t>Cabrero</t>
  </si>
  <si>
    <t>6.62</t>
  </si>
  <si>
    <t>10037</t>
  </si>
  <si>
    <t>Sin Mancomunar</t>
  </si>
  <si>
    <t>1750.32</t>
  </si>
  <si>
    <t>Cáceres-Centro</t>
  </si>
  <si>
    <t>null</t>
  </si>
  <si>
    <t>10038</t>
  </si>
  <si>
    <t>Cachorrilla</t>
  </si>
  <si>
    <t>41.37</t>
  </si>
  <si>
    <t>Torrejoncillo</t>
  </si>
  <si>
    <t>10039</t>
  </si>
  <si>
    <t>Cadalso</t>
  </si>
  <si>
    <t>7.35</t>
  </si>
  <si>
    <t>Torre de Don Miguel</t>
  </si>
  <si>
    <t>10040</t>
  </si>
  <si>
    <t>Calzadilla</t>
  </si>
  <si>
    <t>76.33</t>
  </si>
  <si>
    <t>10041</t>
  </si>
  <si>
    <t>Caminomorisco</t>
  </si>
  <si>
    <t>Las Hurdes</t>
  </si>
  <si>
    <t>147.06</t>
  </si>
  <si>
    <t>Pinofranqueado</t>
  </si>
  <si>
    <t>Casar de Palomero</t>
  </si>
  <si>
    <t>Asociación para el Desarrollo Integral de la Comarca de las Hurdes (ADIC-HURDES)</t>
  </si>
  <si>
    <t>10042</t>
  </si>
  <si>
    <t>Campillo de Deleitosa</t>
  </si>
  <si>
    <t>25.59</t>
  </si>
  <si>
    <t>10043</t>
  </si>
  <si>
    <t>Campo Lugar</t>
  </si>
  <si>
    <t>73.05</t>
  </si>
  <si>
    <t>10044</t>
  </si>
  <si>
    <t>Cañamero</t>
  </si>
  <si>
    <t>151.44</t>
  </si>
  <si>
    <t>10045</t>
  </si>
  <si>
    <t>Cañaveral</t>
  </si>
  <si>
    <t>Riberos del Tajo</t>
  </si>
  <si>
    <t>86.47</t>
  </si>
  <si>
    <t>Asociación para el Desarrollo Integral de Monfragüe y su entorno (ADEME)</t>
  </si>
  <si>
    <t>10046</t>
  </si>
  <si>
    <t>Carbajo</t>
  </si>
  <si>
    <t>Sierra de San Pedro</t>
  </si>
  <si>
    <t>28.04</t>
  </si>
  <si>
    <t>Santiago de Alcántara</t>
  </si>
  <si>
    <t>Asociación para el Desarrollo de la Comarca de la Sierra San Pedro - Los Baldíos</t>
  </si>
  <si>
    <t>10047</t>
  </si>
  <si>
    <t>Carcaboso</t>
  </si>
  <si>
    <t>20.29</t>
  </si>
  <si>
    <t>10048</t>
  </si>
  <si>
    <t>Carrascalejo</t>
  </si>
  <si>
    <t>48.47</t>
  </si>
  <si>
    <t>Villar del Pedroso</t>
  </si>
  <si>
    <t>10049</t>
  </si>
  <si>
    <t>Casar de Cáceres</t>
  </si>
  <si>
    <t>130.29</t>
  </si>
  <si>
    <t>Cáceres-La Mejostilla</t>
  </si>
  <si>
    <t>10050</t>
  </si>
  <si>
    <t>36.91</t>
  </si>
  <si>
    <t>Mohedas de Granadilla</t>
  </si>
  <si>
    <t>10051</t>
  </si>
  <si>
    <t>Casares de las Hurdes</t>
  </si>
  <si>
    <t>20.75</t>
  </si>
  <si>
    <t>Nuñomoral</t>
  </si>
  <si>
    <t>10052</t>
  </si>
  <si>
    <t>Casas de Don Antonio</t>
  </si>
  <si>
    <t>31.4</t>
  </si>
  <si>
    <t>10053</t>
  </si>
  <si>
    <t>Casas de Don Gómez</t>
  </si>
  <si>
    <t>31.15</t>
  </si>
  <si>
    <t>10054</t>
  </si>
  <si>
    <t>24.63</t>
  </si>
  <si>
    <t>10055</t>
  </si>
  <si>
    <t>Casas del Monte</t>
  </si>
  <si>
    <t>27.6</t>
  </si>
  <si>
    <t>10056</t>
  </si>
  <si>
    <t>Casas de Millán</t>
  </si>
  <si>
    <t>152.91</t>
  </si>
  <si>
    <t>10057</t>
  </si>
  <si>
    <t>Casas de Miravete</t>
  </si>
  <si>
    <t>50.15</t>
  </si>
  <si>
    <t>10058</t>
  </si>
  <si>
    <t>Casatejada</t>
  </si>
  <si>
    <t>111.82</t>
  </si>
  <si>
    <t>10059</t>
  </si>
  <si>
    <t>Casillas de Coria</t>
  </si>
  <si>
    <t>61.97</t>
  </si>
  <si>
    <t>10060</t>
  </si>
  <si>
    <t>Castañar de Ibor</t>
  </si>
  <si>
    <t>146.97</t>
  </si>
  <si>
    <t>10061</t>
  </si>
  <si>
    <t>159.49</t>
  </si>
  <si>
    <t>10062</t>
  </si>
  <si>
    <t>Cedillo</t>
  </si>
  <si>
    <t>61.55</t>
  </si>
  <si>
    <t>10063</t>
  </si>
  <si>
    <t>Cerezo</t>
  </si>
  <si>
    <t>18.13</t>
  </si>
  <si>
    <t>10064</t>
  </si>
  <si>
    <t>Cilleros</t>
  </si>
  <si>
    <t>208.94</t>
  </si>
  <si>
    <t>10065</t>
  </si>
  <si>
    <t>Collado</t>
  </si>
  <si>
    <t>44.94</t>
  </si>
  <si>
    <t>10066</t>
  </si>
  <si>
    <t>Conquista de la Sierra</t>
  </si>
  <si>
    <t>41.76</t>
  </si>
  <si>
    <t>10067</t>
  </si>
  <si>
    <t>103.46</t>
  </si>
  <si>
    <t>10068</t>
  </si>
  <si>
    <t>Cuacos de Yuste</t>
  </si>
  <si>
    <t>52.63</t>
  </si>
  <si>
    <t>10069</t>
  </si>
  <si>
    <t>Cumbre (La)</t>
  </si>
  <si>
    <t>113.51</t>
  </si>
  <si>
    <t>10070</t>
  </si>
  <si>
    <t>Deleitosa</t>
  </si>
  <si>
    <t>144.21</t>
  </si>
  <si>
    <t>10071</t>
  </si>
  <si>
    <t>Descargamaría</t>
  </si>
  <si>
    <t>52.91</t>
  </si>
  <si>
    <t>10072</t>
  </si>
  <si>
    <t>Eljas</t>
  </si>
  <si>
    <t>32.54</t>
  </si>
  <si>
    <t>Valverde del Fresno</t>
  </si>
  <si>
    <t>10073</t>
  </si>
  <si>
    <t>Escurial</t>
  </si>
  <si>
    <t>100.71</t>
  </si>
  <si>
    <t>10075</t>
  </si>
  <si>
    <t>Fresnedoso de Ibor</t>
  </si>
  <si>
    <t>54.66</t>
  </si>
  <si>
    <t>10076</t>
  </si>
  <si>
    <t>Galisteo</t>
  </si>
  <si>
    <t>79.51</t>
  </si>
  <si>
    <t>10077</t>
  </si>
  <si>
    <t>Garciaz</t>
  </si>
  <si>
    <t>150.28</t>
  </si>
  <si>
    <t>10078</t>
  </si>
  <si>
    <t>Garganta (La)</t>
  </si>
  <si>
    <t>24.07</t>
  </si>
  <si>
    <t>10079</t>
  </si>
  <si>
    <t>Garganta la Olla</t>
  </si>
  <si>
    <t>48.06</t>
  </si>
  <si>
    <t>10080</t>
  </si>
  <si>
    <t>Gargantilla</t>
  </si>
  <si>
    <t>20.87</t>
  </si>
  <si>
    <t>10081</t>
  </si>
  <si>
    <t>Gargüera</t>
  </si>
  <si>
    <t>51.6</t>
  </si>
  <si>
    <t>Plasencia-Luis de Toro</t>
  </si>
  <si>
    <t>10082</t>
  </si>
  <si>
    <t>Garrovillas de Alconétar</t>
  </si>
  <si>
    <t>206.85</t>
  </si>
  <si>
    <t>10083</t>
  </si>
  <si>
    <t>Garvín</t>
  </si>
  <si>
    <t>38.26</t>
  </si>
  <si>
    <t>10084</t>
  </si>
  <si>
    <t>Gata</t>
  </si>
  <si>
    <t>94.17</t>
  </si>
  <si>
    <t>10085</t>
  </si>
  <si>
    <t>Gordo (El)</t>
  </si>
  <si>
    <t>78.59</t>
  </si>
  <si>
    <t>10086</t>
  </si>
  <si>
    <t>Granja (La)</t>
  </si>
  <si>
    <t>14.94</t>
  </si>
  <si>
    <t>10087</t>
  </si>
  <si>
    <t>68.19</t>
  </si>
  <si>
    <t>10088</t>
  </si>
  <si>
    <t>Guijo de Coria</t>
  </si>
  <si>
    <t>74.74</t>
  </si>
  <si>
    <t>10089</t>
  </si>
  <si>
    <t>Guijo de Galisteo</t>
  </si>
  <si>
    <t>63.71</t>
  </si>
  <si>
    <t>10090</t>
  </si>
  <si>
    <t>Guijo de Granadilla</t>
  </si>
  <si>
    <t>75.02</t>
  </si>
  <si>
    <t>10091</t>
  </si>
  <si>
    <t>Guijo de Santa Bárbara</t>
  </si>
  <si>
    <t>34.54</t>
  </si>
  <si>
    <t>Losar de la Vera</t>
  </si>
  <si>
    <t>10092</t>
  </si>
  <si>
    <t>Herguijuela</t>
  </si>
  <si>
    <t>41.96</t>
  </si>
  <si>
    <t>10093</t>
  </si>
  <si>
    <t>Hernán-Pérez</t>
  </si>
  <si>
    <t>35.75</t>
  </si>
  <si>
    <t>10094</t>
  </si>
  <si>
    <t>Herrera de Alcántara</t>
  </si>
  <si>
    <t>121.61</t>
  </si>
  <si>
    <t>10095</t>
  </si>
  <si>
    <t>Herreruela</t>
  </si>
  <si>
    <t>113.72</t>
  </si>
  <si>
    <t>Salorino</t>
  </si>
  <si>
    <t>10096</t>
  </si>
  <si>
    <t>59.77</t>
  </si>
  <si>
    <t>10097</t>
  </si>
  <si>
    <t>Higuera</t>
  </si>
  <si>
    <t>40.53</t>
  </si>
  <si>
    <t>10098</t>
  </si>
  <si>
    <t>Hinojal</t>
  </si>
  <si>
    <t>63.45</t>
  </si>
  <si>
    <t>Talaván</t>
  </si>
  <si>
    <t>10099</t>
  </si>
  <si>
    <t>Holguera</t>
  </si>
  <si>
    <t>37.19</t>
  </si>
  <si>
    <t>10100</t>
  </si>
  <si>
    <t>15.09</t>
  </si>
  <si>
    <t>10101</t>
  </si>
  <si>
    <t>Huélaga</t>
  </si>
  <si>
    <t>10.73</t>
  </si>
  <si>
    <t>Moraleja</t>
  </si>
  <si>
    <t>10102</t>
  </si>
  <si>
    <t>Ibahernando</t>
  </si>
  <si>
    <t>76.95</t>
  </si>
  <si>
    <t>10103</t>
  </si>
  <si>
    <t>Jaraicejo</t>
  </si>
  <si>
    <t>177.48</t>
  </si>
  <si>
    <t>10104</t>
  </si>
  <si>
    <t>62.52</t>
  </si>
  <si>
    <t>10105</t>
  </si>
  <si>
    <t>Jarandilla de la Vera</t>
  </si>
  <si>
    <t>61.51</t>
  </si>
  <si>
    <t>10106</t>
  </si>
  <si>
    <t>Jarilla</t>
  </si>
  <si>
    <t>28.47</t>
  </si>
  <si>
    <t>10107</t>
  </si>
  <si>
    <t>Jerte</t>
  </si>
  <si>
    <t>58.95</t>
  </si>
  <si>
    <t>10108</t>
  </si>
  <si>
    <t>Ladrillar</t>
  </si>
  <si>
    <t>53.03</t>
  </si>
  <si>
    <t>10109</t>
  </si>
  <si>
    <t>365.3</t>
  </si>
  <si>
    <t>10110</t>
  </si>
  <si>
    <t>82.07</t>
  </si>
  <si>
    <t>10111</t>
  </si>
  <si>
    <t>Madrigal de la Vera</t>
  </si>
  <si>
    <t>41.62</t>
  </si>
  <si>
    <t>Villanueva de la Vera</t>
  </si>
  <si>
    <t>10112</t>
  </si>
  <si>
    <t>Madrigalejo</t>
  </si>
  <si>
    <t>100.8</t>
  </si>
  <si>
    <t>Asociación para el Desarrollo de Vegas Altas del Guadiana (ADEVAG)</t>
  </si>
  <si>
    <t>10113</t>
  </si>
  <si>
    <t>Madroñera</t>
  </si>
  <si>
    <t>132.9</t>
  </si>
  <si>
    <t>10114</t>
  </si>
  <si>
    <t>Majadas</t>
  </si>
  <si>
    <t>51.96</t>
  </si>
  <si>
    <t>10115</t>
  </si>
  <si>
    <t>Malpartida de Cáceres</t>
  </si>
  <si>
    <t>32.16</t>
  </si>
  <si>
    <t>Cáceres-Norte</t>
  </si>
  <si>
    <t>10116</t>
  </si>
  <si>
    <t>Malpartida de Plasencia</t>
  </si>
  <si>
    <t>372.64</t>
  </si>
  <si>
    <t>10117</t>
  </si>
  <si>
    <t>Marchagaz</t>
  </si>
  <si>
    <t>9.47</t>
  </si>
  <si>
    <t>10118</t>
  </si>
  <si>
    <t>Mata de Alcántara</t>
  </si>
  <si>
    <t>33.5</t>
  </si>
  <si>
    <t>10119</t>
  </si>
  <si>
    <t>Membrío</t>
  </si>
  <si>
    <t>207.73</t>
  </si>
  <si>
    <t>10120</t>
  </si>
  <si>
    <t>Mesas de Ibor</t>
  </si>
  <si>
    <t>48.75</t>
  </si>
  <si>
    <t>10121</t>
  </si>
  <si>
    <t>120.75</t>
  </si>
  <si>
    <t>10122</t>
  </si>
  <si>
    <t>Millanes</t>
  </si>
  <si>
    <t>17.61</t>
  </si>
  <si>
    <t>10123</t>
  </si>
  <si>
    <t>Mirabel</t>
  </si>
  <si>
    <t>49.29</t>
  </si>
  <si>
    <t>Serradilla</t>
  </si>
  <si>
    <t>10124</t>
  </si>
  <si>
    <t>58.72</t>
  </si>
  <si>
    <t>10125</t>
  </si>
  <si>
    <t>Monroy</t>
  </si>
  <si>
    <t>204.45</t>
  </si>
  <si>
    <t>10126</t>
  </si>
  <si>
    <t>Montánchez</t>
  </si>
  <si>
    <t>112.65</t>
  </si>
  <si>
    <t>10127</t>
  </si>
  <si>
    <t>95.0</t>
  </si>
  <si>
    <t>10128</t>
  </si>
  <si>
    <t>147.6</t>
  </si>
  <si>
    <t>10129</t>
  </si>
  <si>
    <t>Morcillo</t>
  </si>
  <si>
    <t>16.23</t>
  </si>
  <si>
    <t>10130</t>
  </si>
  <si>
    <t>Navaconcejo</t>
  </si>
  <si>
    <t>51.39</t>
  </si>
  <si>
    <t>10131</t>
  </si>
  <si>
    <t>155.95</t>
  </si>
  <si>
    <t>10132</t>
  </si>
  <si>
    <t>Navalvillar de Ibor</t>
  </si>
  <si>
    <t>55.52</t>
  </si>
  <si>
    <t>10133</t>
  </si>
  <si>
    <t>112.28</t>
  </si>
  <si>
    <t>10134</t>
  </si>
  <si>
    <t>Navezuelas</t>
  </si>
  <si>
    <t>59.98</t>
  </si>
  <si>
    <t>10135</t>
  </si>
  <si>
    <t>94.77</t>
  </si>
  <si>
    <t>10136</t>
  </si>
  <si>
    <t>Oliva de Plasencia</t>
  </si>
  <si>
    <t>88.73</t>
  </si>
  <si>
    <t>10137</t>
  </si>
  <si>
    <t>Palomero</t>
  </si>
  <si>
    <t>20.27</t>
  </si>
  <si>
    <t>10138</t>
  </si>
  <si>
    <t>Pasarón de la Vera</t>
  </si>
  <si>
    <t>38.96</t>
  </si>
  <si>
    <t>10139</t>
  </si>
  <si>
    <t>Pedroso de Acim</t>
  </si>
  <si>
    <t>33.23</t>
  </si>
  <si>
    <t>10140</t>
  </si>
  <si>
    <t>Peraleda de la Mata</t>
  </si>
  <si>
    <t>92.06</t>
  </si>
  <si>
    <t>10141</t>
  </si>
  <si>
    <t>Peraleda de San Román</t>
  </si>
  <si>
    <t>61.89</t>
  </si>
  <si>
    <t>10142</t>
  </si>
  <si>
    <t>Perales del Puerto</t>
  </si>
  <si>
    <t>36.27</t>
  </si>
  <si>
    <t>10143</t>
  </si>
  <si>
    <t>Pescueza</t>
  </si>
  <si>
    <t>52.05</t>
  </si>
  <si>
    <t>10144</t>
  </si>
  <si>
    <t>Pesga (La)</t>
  </si>
  <si>
    <t>19.88</t>
  </si>
  <si>
    <t>10145</t>
  </si>
  <si>
    <t>Piedras Albas</t>
  </si>
  <si>
    <t>4.53</t>
  </si>
  <si>
    <t>10146</t>
  </si>
  <si>
    <t>146.83</t>
  </si>
  <si>
    <t>10147</t>
  </si>
  <si>
    <t>Piornal</t>
  </si>
  <si>
    <t>36.38</t>
  </si>
  <si>
    <t>10148</t>
  </si>
  <si>
    <t>217.93</t>
  </si>
  <si>
    <t>10149</t>
  </si>
  <si>
    <t>Plasenzuela</t>
  </si>
  <si>
    <t>36.67</t>
  </si>
  <si>
    <t>10150</t>
  </si>
  <si>
    <t>Portaje</t>
  </si>
  <si>
    <t>100.54</t>
  </si>
  <si>
    <t>10151</t>
  </si>
  <si>
    <t>Portezuelo</t>
  </si>
  <si>
    <t>126.1</t>
  </si>
  <si>
    <t>10152</t>
  </si>
  <si>
    <t>Pozuelo de Zarzón</t>
  </si>
  <si>
    <t>47.42</t>
  </si>
  <si>
    <t>10153</t>
  </si>
  <si>
    <t>Puerto de Santa Cruz</t>
  </si>
  <si>
    <t>33.72</t>
  </si>
  <si>
    <t>10154</t>
  </si>
  <si>
    <t>Rebollar</t>
  </si>
  <si>
    <t>11.5</t>
  </si>
  <si>
    <t>10155</t>
  </si>
  <si>
    <t>Riolobos</t>
  </si>
  <si>
    <t>49.48</t>
  </si>
  <si>
    <t>10156</t>
  </si>
  <si>
    <t>Robledillo de Gata</t>
  </si>
  <si>
    <t>31.07</t>
  </si>
  <si>
    <t>10157</t>
  </si>
  <si>
    <t>Robledillo de la Vera</t>
  </si>
  <si>
    <t>12.83</t>
  </si>
  <si>
    <t>10158</t>
  </si>
  <si>
    <t>Robledillo de Trujillo</t>
  </si>
  <si>
    <t>44.78</t>
  </si>
  <si>
    <t>10159</t>
  </si>
  <si>
    <t>Robledollano</t>
  </si>
  <si>
    <t>61.74</t>
  </si>
  <si>
    <t>10160</t>
  </si>
  <si>
    <t>Romangordo</t>
  </si>
  <si>
    <t>39.06</t>
  </si>
  <si>
    <t>10161</t>
  </si>
  <si>
    <t>Ruanes</t>
  </si>
  <si>
    <t>15.1</t>
  </si>
  <si>
    <t>10162</t>
  </si>
  <si>
    <t>157.64</t>
  </si>
  <si>
    <t>10163</t>
  </si>
  <si>
    <t>Salvatierra de Santiago</t>
  </si>
  <si>
    <t>33.44</t>
  </si>
  <si>
    <t>10164</t>
  </si>
  <si>
    <t>San Martín de Trevejo</t>
  </si>
  <si>
    <t>24.75</t>
  </si>
  <si>
    <t>10165</t>
  </si>
  <si>
    <t>Santa Ana</t>
  </si>
  <si>
    <t>34.98</t>
  </si>
  <si>
    <t>10166</t>
  </si>
  <si>
    <t>Santa Cruz de la Sierra</t>
  </si>
  <si>
    <t>44.59</t>
  </si>
  <si>
    <t>10167</t>
  </si>
  <si>
    <t>Santa Cruz de Paniagua</t>
  </si>
  <si>
    <t>83.81</t>
  </si>
  <si>
    <t>10168</t>
  </si>
  <si>
    <t>Santa Marta de Magasca</t>
  </si>
  <si>
    <t>39.68</t>
  </si>
  <si>
    <t>10169</t>
  </si>
  <si>
    <t>95.56</t>
  </si>
  <si>
    <t>10170</t>
  </si>
  <si>
    <t>Santiago del Campo</t>
  </si>
  <si>
    <t>73.33</t>
  </si>
  <si>
    <t>10171</t>
  </si>
  <si>
    <t>Santibáñez el Alto</t>
  </si>
  <si>
    <t>99.07</t>
  </si>
  <si>
    <t>10172</t>
  </si>
  <si>
    <t>Santibáñez el Bajo</t>
  </si>
  <si>
    <t>46.15</t>
  </si>
  <si>
    <t>10173</t>
  </si>
  <si>
    <t>Saucedilla</t>
  </si>
  <si>
    <t>60.41</t>
  </si>
  <si>
    <t>10174</t>
  </si>
  <si>
    <t>Segura de Toro</t>
  </si>
  <si>
    <t>14.73</t>
  </si>
  <si>
    <t>10175</t>
  </si>
  <si>
    <t>259.18</t>
  </si>
  <si>
    <t>10176</t>
  </si>
  <si>
    <t>Serrejón</t>
  </si>
  <si>
    <t>124.15</t>
  </si>
  <si>
    <t>10177</t>
  </si>
  <si>
    <t>Sierra de Fuentes</t>
  </si>
  <si>
    <t>25.21</t>
  </si>
  <si>
    <t>10178</t>
  </si>
  <si>
    <t>98.48</t>
  </si>
  <si>
    <t>10179</t>
  </si>
  <si>
    <t>Talaveruela de la Vera</t>
  </si>
  <si>
    <t>21.33</t>
  </si>
  <si>
    <t>10180</t>
  </si>
  <si>
    <t>Talayuela</t>
  </si>
  <si>
    <t>181.46</t>
  </si>
  <si>
    <t>10181</t>
  </si>
  <si>
    <t>Tejeda de Tiétar</t>
  </si>
  <si>
    <t>52.83</t>
  </si>
  <si>
    <t>10182</t>
  </si>
  <si>
    <t>Toril</t>
  </si>
  <si>
    <t>149.75</t>
  </si>
  <si>
    <t>10183</t>
  </si>
  <si>
    <t>Tornavacas</t>
  </si>
  <si>
    <t>76.59</t>
  </si>
  <si>
    <t>10184</t>
  </si>
  <si>
    <t>Torno (El)</t>
  </si>
  <si>
    <t>22.26</t>
  </si>
  <si>
    <t>10185</t>
  </si>
  <si>
    <t>Torrecilla de los Ángeles</t>
  </si>
  <si>
    <t>43.29</t>
  </si>
  <si>
    <t>10186</t>
  </si>
  <si>
    <t>Torrecillas de la Tiesa</t>
  </si>
  <si>
    <t>139.54</t>
  </si>
  <si>
    <t>10187</t>
  </si>
  <si>
    <t>11.55</t>
  </si>
  <si>
    <t>10188</t>
  </si>
  <si>
    <t>Torre de Santa María</t>
  </si>
  <si>
    <t>19.06</t>
  </si>
  <si>
    <t>10189</t>
  </si>
  <si>
    <t>94.53</t>
  </si>
  <si>
    <t>10190</t>
  </si>
  <si>
    <t>Torrejón el Rubio</t>
  </si>
  <si>
    <t>221.88</t>
  </si>
  <si>
    <t>10191</t>
  </si>
  <si>
    <t>Torremenga</t>
  </si>
  <si>
    <t>12.15</t>
  </si>
  <si>
    <t>10192</t>
  </si>
  <si>
    <t>Torremocha</t>
  </si>
  <si>
    <t>63.83</t>
  </si>
  <si>
    <t>10193</t>
  </si>
  <si>
    <t>Torreorgaz</t>
  </si>
  <si>
    <t>28.77</t>
  </si>
  <si>
    <t>Cáceres Nuevo Cáceres</t>
  </si>
  <si>
    <t>10194</t>
  </si>
  <si>
    <t>Torrequemada</t>
  </si>
  <si>
    <t>30.81</t>
  </si>
  <si>
    <t>10195</t>
  </si>
  <si>
    <t>649.53</t>
  </si>
  <si>
    <t>10196</t>
  </si>
  <si>
    <t>Valdastillas</t>
  </si>
  <si>
    <t>8.1</t>
  </si>
  <si>
    <t>10197</t>
  </si>
  <si>
    <t>Valdecañas de Tajo</t>
  </si>
  <si>
    <t>18.81</t>
  </si>
  <si>
    <t>10198</t>
  </si>
  <si>
    <t>27.14</t>
  </si>
  <si>
    <t>10199</t>
  </si>
  <si>
    <t>Valdehúncar</t>
  </si>
  <si>
    <t>10200</t>
  </si>
  <si>
    <t>Valdelacasa de Tajo</t>
  </si>
  <si>
    <t>72.9</t>
  </si>
  <si>
    <t>10201</t>
  </si>
  <si>
    <t>Valdemorales</t>
  </si>
  <si>
    <t>9.89</t>
  </si>
  <si>
    <t>10202</t>
  </si>
  <si>
    <t>Valdeobispo</t>
  </si>
  <si>
    <t>42.09</t>
  </si>
  <si>
    <t>10203</t>
  </si>
  <si>
    <t>594.83</t>
  </si>
  <si>
    <t>10204</t>
  </si>
  <si>
    <t>Valverde de la Vera</t>
  </si>
  <si>
    <t>46.95</t>
  </si>
  <si>
    <t>10205</t>
  </si>
  <si>
    <t>196.97</t>
  </si>
  <si>
    <t>10206</t>
  </si>
  <si>
    <t>Viandar de la Vera</t>
  </si>
  <si>
    <t>28.0</t>
  </si>
  <si>
    <t>10207</t>
  </si>
  <si>
    <t>Villa del Campo</t>
  </si>
  <si>
    <t>56.92</t>
  </si>
  <si>
    <t>10208</t>
  </si>
  <si>
    <t>Villa del Rey</t>
  </si>
  <si>
    <t>57.29</t>
  </si>
  <si>
    <t>10209</t>
  </si>
  <si>
    <t>Villamesías</t>
  </si>
  <si>
    <t>46.46</t>
  </si>
  <si>
    <t>10210</t>
  </si>
  <si>
    <t>Villamiel</t>
  </si>
  <si>
    <t>73.08</t>
  </si>
  <si>
    <t>10211</t>
  </si>
  <si>
    <t>Villanueva de la Sierra</t>
  </si>
  <si>
    <t>43.61</t>
  </si>
  <si>
    <t>10212</t>
  </si>
  <si>
    <t>129.65</t>
  </si>
  <si>
    <t>10213</t>
  </si>
  <si>
    <t>242.4</t>
  </si>
  <si>
    <t>10214</t>
  </si>
  <si>
    <t>Villar de Plasencia</t>
  </si>
  <si>
    <t>24.99</t>
  </si>
  <si>
    <t>10215</t>
  </si>
  <si>
    <t>Villasbuenas de Gata</t>
  </si>
  <si>
    <t>46.82</t>
  </si>
  <si>
    <t>10216</t>
  </si>
  <si>
    <t>Zarza de Granadilla</t>
  </si>
  <si>
    <t>133.56</t>
  </si>
  <si>
    <t>10217</t>
  </si>
  <si>
    <t>Zarza de Montánchez</t>
  </si>
  <si>
    <t>36.81</t>
  </si>
  <si>
    <t>10218</t>
  </si>
  <si>
    <t>Zarza la Mayor</t>
  </si>
  <si>
    <t>170.27</t>
  </si>
  <si>
    <t>10219</t>
  </si>
  <si>
    <t>186.96</t>
  </si>
  <si>
    <t>10901</t>
  </si>
  <si>
    <t>Rosalejo</t>
  </si>
  <si>
    <t>39.07</t>
  </si>
  <si>
    <t>10902</t>
  </si>
  <si>
    <t>Vegaviana</t>
  </si>
  <si>
    <t>23.06</t>
  </si>
  <si>
    <t>10903</t>
  </si>
  <si>
    <t>Alagón del Río</t>
  </si>
  <si>
    <t>13.82</t>
  </si>
  <si>
    <t>10904</t>
  </si>
  <si>
    <t>Tiétar</t>
  </si>
  <si>
    <t>23.91</t>
  </si>
  <si>
    <t>10905</t>
  </si>
  <si>
    <t>Pueblonuevo de Miramontes</t>
  </si>
  <si>
    <t>23.28</t>
  </si>
  <si>
    <t>Municipio</t>
  </si>
  <si>
    <t>Población</t>
  </si>
  <si>
    <t>Mancomunidad</t>
  </si>
  <si>
    <t>Grupo de acción local</t>
  </si>
  <si>
    <t>Superficie</t>
  </si>
  <si>
    <t>Zona de Salud</t>
  </si>
  <si>
    <t>Área sanitaria</t>
  </si>
  <si>
    <t>Comarca agraria</t>
  </si>
  <si>
    <t>Centros de empleo</t>
  </si>
  <si>
    <t>Partido judicial</t>
  </si>
  <si>
    <t>municipio</t>
  </si>
  <si>
    <t>población</t>
  </si>
  <si>
    <t>El Gordo</t>
  </si>
  <si>
    <t>El Torno</t>
  </si>
  <si>
    <t>La Aldea del Obispo</t>
  </si>
  <si>
    <t>La Cumbre</t>
  </si>
  <si>
    <t>La Garganta</t>
  </si>
  <si>
    <t>La Granja</t>
  </si>
  <si>
    <t>La Pesga</t>
  </si>
  <si>
    <t>Etiquetas de fila</t>
  </si>
  <si>
    <t>Suma de Población</t>
  </si>
  <si>
    <t>Cuenta de Municipio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</si>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</sst>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10.0"/>
      <color rgb="FF000000"/>
      <name val="SansSerif"/>
    </font>
    <font>
      <b/>
      <sz val="12.0"/>
      <color rgb="FF000000"/>
      <name val="SansSerif"/>
    </font>
    <font>
      <sz val="10.0"/>
      <color rgb="FF000000"/>
      <name val="SansSerif"/>
    </font>
    <font>
      <b/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Font="1"/>
    <xf borderId="0" fillId="0" fontId="6" numFmtId="0" xfId="0" applyFont="1"/>
    <xf borderId="0" fillId="0" fontId="1" numFmtId="2" xfId="0" applyFont="1" applyNumberFormat="1"/>
    <xf borderId="0" fillId="0" fontId="1" numFmtId="0" xfId="0" applyAlignment="1" applyFont="1">
      <alignment horizontal="right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0" width="27.0"/>
    <col customWidth="1" min="11" max="26" width="8.88"/>
  </cols>
  <sheetData>
    <row r="1" ht="49.5" customHeight="1">
      <c r="A1" s="1"/>
      <c r="B1" s="2" t="s">
        <v>0</v>
      </c>
      <c r="D1" s="3"/>
      <c r="E1" s="3"/>
      <c r="F1" s="3"/>
      <c r="G1" s="3"/>
      <c r="H1" s="3"/>
      <c r="I1" s="3"/>
      <c r="J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21.75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17</v>
      </c>
      <c r="I3" s="5" t="s">
        <v>16</v>
      </c>
      <c r="J3" s="5" t="s">
        <v>18</v>
      </c>
    </row>
    <row r="4" ht="21.75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23</v>
      </c>
      <c r="I4" s="5" t="s">
        <v>25</v>
      </c>
      <c r="J4" s="5" t="s">
        <v>26</v>
      </c>
    </row>
    <row r="5" ht="21.75" customHeight="1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32</v>
      </c>
      <c r="H5" s="5" t="s">
        <v>31</v>
      </c>
      <c r="I5" s="5" t="s">
        <v>32</v>
      </c>
      <c r="J5" s="5" t="s">
        <v>33</v>
      </c>
    </row>
    <row r="6" ht="21.75" customHeight="1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32</v>
      </c>
      <c r="G6" s="5" t="s">
        <v>39</v>
      </c>
      <c r="H6" s="5" t="s">
        <v>32</v>
      </c>
      <c r="I6" s="5" t="s">
        <v>24</v>
      </c>
      <c r="J6" s="5" t="s">
        <v>40</v>
      </c>
    </row>
    <row r="7" ht="21.75" customHeight="1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16</v>
      </c>
      <c r="G7" s="5" t="s">
        <v>16</v>
      </c>
      <c r="H7" s="5" t="s">
        <v>17</v>
      </c>
      <c r="I7" s="5" t="s">
        <v>16</v>
      </c>
      <c r="J7" s="5" t="s">
        <v>40</v>
      </c>
    </row>
    <row r="8" ht="21.75" customHeight="1">
      <c r="A8" s="5" t="s">
        <v>46</v>
      </c>
      <c r="B8" s="5" t="s">
        <v>47</v>
      </c>
      <c r="C8" s="5" t="s">
        <v>48</v>
      </c>
      <c r="D8" s="5" t="s">
        <v>49</v>
      </c>
      <c r="E8" s="5" t="s">
        <v>47</v>
      </c>
      <c r="F8" s="5" t="s">
        <v>16</v>
      </c>
      <c r="G8" s="5" t="s">
        <v>17</v>
      </c>
      <c r="H8" s="5" t="s">
        <v>17</v>
      </c>
      <c r="I8" s="5" t="s">
        <v>16</v>
      </c>
      <c r="J8" s="5" t="s">
        <v>50</v>
      </c>
    </row>
    <row r="9" ht="21.75" customHeight="1">
      <c r="A9" s="5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24</v>
      </c>
      <c r="G9" s="5" t="s">
        <v>24</v>
      </c>
      <c r="H9" s="5" t="s">
        <v>24</v>
      </c>
      <c r="I9" s="5" t="s">
        <v>24</v>
      </c>
      <c r="J9" s="5" t="s">
        <v>56</v>
      </c>
    </row>
    <row r="10" ht="21.75" customHeight="1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58</v>
      </c>
      <c r="F10" s="5" t="s">
        <v>24</v>
      </c>
      <c r="G10" s="5" t="s">
        <v>39</v>
      </c>
      <c r="H10" s="5" t="s">
        <v>61</v>
      </c>
      <c r="I10" s="5" t="s">
        <v>24</v>
      </c>
      <c r="J10" s="5" t="s">
        <v>62</v>
      </c>
    </row>
    <row r="11" ht="21.75" customHeight="1">
      <c r="A11" s="5" t="s">
        <v>63</v>
      </c>
      <c r="B11" s="5" t="s">
        <v>64</v>
      </c>
      <c r="C11" s="5" t="s">
        <v>21</v>
      </c>
      <c r="D11" s="5" t="s">
        <v>65</v>
      </c>
      <c r="E11" s="5" t="s">
        <v>66</v>
      </c>
      <c r="F11" s="5" t="s">
        <v>24</v>
      </c>
      <c r="G11" s="5" t="s">
        <v>25</v>
      </c>
      <c r="H11" s="5" t="s">
        <v>23</v>
      </c>
      <c r="I11" s="5" t="s">
        <v>25</v>
      </c>
      <c r="J11" s="5" t="s">
        <v>26</v>
      </c>
    </row>
    <row r="12" ht="21.75" customHeight="1">
      <c r="A12" s="5" t="s">
        <v>67</v>
      </c>
      <c r="B12" s="5" t="s">
        <v>68</v>
      </c>
      <c r="C12" s="5" t="s">
        <v>53</v>
      </c>
      <c r="D12" s="5" t="s">
        <v>69</v>
      </c>
      <c r="E12" s="5" t="s">
        <v>68</v>
      </c>
      <c r="F12" s="5" t="s">
        <v>24</v>
      </c>
      <c r="G12" s="5" t="s">
        <v>24</v>
      </c>
      <c r="H12" s="5" t="s">
        <v>24</v>
      </c>
      <c r="I12" s="5" t="s">
        <v>24</v>
      </c>
      <c r="J12" s="5" t="s">
        <v>56</v>
      </c>
    </row>
    <row r="13" ht="21.75" customHeight="1">
      <c r="A13" s="5" t="s">
        <v>70</v>
      </c>
      <c r="B13" s="5" t="s">
        <v>71</v>
      </c>
      <c r="C13" s="5" t="s">
        <v>72</v>
      </c>
      <c r="D13" s="5" t="s">
        <v>73</v>
      </c>
      <c r="E13" s="5" t="s">
        <v>74</v>
      </c>
      <c r="F13" s="5" t="s">
        <v>24</v>
      </c>
      <c r="G13" s="5" t="s">
        <v>75</v>
      </c>
      <c r="H13" s="5" t="s">
        <v>75</v>
      </c>
      <c r="I13" s="5" t="s">
        <v>75</v>
      </c>
      <c r="J13" s="5" t="s">
        <v>76</v>
      </c>
    </row>
    <row r="14" ht="21.75" customHeight="1">
      <c r="A14" s="5" t="s">
        <v>77</v>
      </c>
      <c r="B14" s="5" t="s">
        <v>78</v>
      </c>
      <c r="C14" s="5" t="s">
        <v>53</v>
      </c>
      <c r="D14" s="5" t="s">
        <v>79</v>
      </c>
      <c r="E14" s="5" t="s">
        <v>68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56</v>
      </c>
    </row>
    <row r="15" ht="21.75" customHeight="1">
      <c r="A15" s="5" t="s">
        <v>80</v>
      </c>
      <c r="B15" s="5" t="s">
        <v>81</v>
      </c>
      <c r="C15" s="5" t="s">
        <v>82</v>
      </c>
      <c r="D15" s="5" t="s">
        <v>83</v>
      </c>
      <c r="E15" s="5" t="s">
        <v>84</v>
      </c>
      <c r="F15" s="5" t="s">
        <v>24</v>
      </c>
      <c r="G15" s="5" t="s">
        <v>75</v>
      </c>
      <c r="H15" s="5" t="s">
        <v>75</v>
      </c>
      <c r="I15" s="5" t="s">
        <v>75</v>
      </c>
      <c r="J15" s="5" t="s">
        <v>26</v>
      </c>
    </row>
    <row r="16" ht="21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16</v>
      </c>
      <c r="G16" s="5" t="s">
        <v>90</v>
      </c>
      <c r="H16" s="5" t="s">
        <v>90</v>
      </c>
      <c r="I16" s="5" t="s">
        <v>91</v>
      </c>
      <c r="J16" s="5" t="s">
        <v>92</v>
      </c>
    </row>
    <row r="17" ht="21.75" customHeight="1">
      <c r="A17" s="5" t="s">
        <v>93</v>
      </c>
      <c r="B17" s="5" t="s">
        <v>15</v>
      </c>
      <c r="C17" s="5" t="s">
        <v>13</v>
      </c>
      <c r="D17" s="5" t="s">
        <v>94</v>
      </c>
      <c r="E17" s="5" t="s">
        <v>15</v>
      </c>
      <c r="F17" s="5" t="s">
        <v>16</v>
      </c>
      <c r="G17" s="5" t="s">
        <v>17</v>
      </c>
      <c r="H17" s="5" t="s">
        <v>17</v>
      </c>
      <c r="I17" s="5" t="s">
        <v>16</v>
      </c>
      <c r="J17" s="5" t="s">
        <v>18</v>
      </c>
    </row>
    <row r="18" ht="21.75" customHeight="1">
      <c r="A18" s="5" t="s">
        <v>95</v>
      </c>
      <c r="B18" s="5" t="s">
        <v>96</v>
      </c>
      <c r="C18" s="5" t="s">
        <v>43</v>
      </c>
      <c r="D18" s="5" t="s">
        <v>97</v>
      </c>
      <c r="E18" s="5" t="s">
        <v>98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40</v>
      </c>
    </row>
    <row r="19" ht="21.75" customHeight="1">
      <c r="A19" s="5" t="s">
        <v>99</v>
      </c>
      <c r="B19" s="5" t="s">
        <v>100</v>
      </c>
      <c r="C19" s="5" t="s">
        <v>72</v>
      </c>
      <c r="D19" s="5" t="s">
        <v>101</v>
      </c>
      <c r="E19" s="5" t="s">
        <v>102</v>
      </c>
      <c r="F19" s="5" t="s">
        <v>24</v>
      </c>
      <c r="G19" s="5" t="s">
        <v>25</v>
      </c>
      <c r="H19" s="5" t="s">
        <v>75</v>
      </c>
      <c r="I19" s="5" t="s">
        <v>25</v>
      </c>
      <c r="J19" s="5" t="s">
        <v>76</v>
      </c>
    </row>
    <row r="20" ht="21.75" customHeight="1">
      <c r="A20" s="5" t="s">
        <v>103</v>
      </c>
      <c r="B20" s="5" t="s">
        <v>104</v>
      </c>
      <c r="C20" s="5" t="s">
        <v>59</v>
      </c>
      <c r="D20" s="5" t="s">
        <v>105</v>
      </c>
      <c r="E20" s="5" t="s">
        <v>106</v>
      </c>
      <c r="F20" s="5" t="s">
        <v>24</v>
      </c>
      <c r="G20" s="5" t="s">
        <v>24</v>
      </c>
      <c r="H20" s="5" t="s">
        <v>24</v>
      </c>
      <c r="I20" s="5" t="s">
        <v>24</v>
      </c>
      <c r="J20" s="5" t="s">
        <v>62</v>
      </c>
    </row>
    <row r="21" ht="21.75" customHeight="1">
      <c r="A21" s="5" t="s">
        <v>107</v>
      </c>
      <c r="B21" s="5" t="s">
        <v>108</v>
      </c>
      <c r="C21" s="5" t="s">
        <v>109</v>
      </c>
      <c r="D21" s="5" t="s">
        <v>110</v>
      </c>
      <c r="E21" s="5" t="s">
        <v>111</v>
      </c>
      <c r="F21" s="5" t="s">
        <v>91</v>
      </c>
      <c r="G21" s="5" t="s">
        <v>91</v>
      </c>
      <c r="H21" s="5" t="s">
        <v>91</v>
      </c>
      <c r="I21" s="5" t="s">
        <v>91</v>
      </c>
      <c r="J21" s="5" t="s">
        <v>112</v>
      </c>
    </row>
    <row r="22" ht="21.75" customHeight="1">
      <c r="A22" s="5" t="s">
        <v>113</v>
      </c>
      <c r="B22" s="5" t="s">
        <v>114</v>
      </c>
      <c r="C22" s="5" t="s">
        <v>53</v>
      </c>
      <c r="D22" s="5" t="s">
        <v>115</v>
      </c>
      <c r="E22" s="5" t="s">
        <v>23</v>
      </c>
      <c r="F22" s="5" t="s">
        <v>24</v>
      </c>
      <c r="G22" s="5" t="s">
        <v>75</v>
      </c>
      <c r="H22" s="5" t="s">
        <v>23</v>
      </c>
      <c r="I22" s="5" t="s">
        <v>24</v>
      </c>
      <c r="J22" s="5" t="s">
        <v>56</v>
      </c>
    </row>
    <row r="23" ht="21.75" customHeight="1">
      <c r="A23" s="5" t="s">
        <v>116</v>
      </c>
      <c r="B23" s="5" t="s">
        <v>106</v>
      </c>
      <c r="C23" s="5" t="s">
        <v>59</v>
      </c>
      <c r="D23" s="5" t="s">
        <v>117</v>
      </c>
      <c r="E23" s="5" t="s">
        <v>106</v>
      </c>
      <c r="F23" s="5" t="s">
        <v>24</v>
      </c>
      <c r="G23" s="5" t="s">
        <v>24</v>
      </c>
      <c r="H23" s="5" t="s">
        <v>24</v>
      </c>
      <c r="I23" s="5" t="s">
        <v>24</v>
      </c>
      <c r="J23" s="5" t="s">
        <v>62</v>
      </c>
    </row>
    <row r="24" ht="21.75" customHeight="1">
      <c r="A24" s="5" t="s">
        <v>118</v>
      </c>
      <c r="B24" s="5" t="s">
        <v>119</v>
      </c>
      <c r="C24" s="5" t="s">
        <v>87</v>
      </c>
      <c r="D24" s="5" t="s">
        <v>120</v>
      </c>
      <c r="E24" s="5" t="s">
        <v>89</v>
      </c>
      <c r="F24" s="5" t="s">
        <v>16</v>
      </c>
      <c r="G24" s="5" t="s">
        <v>16</v>
      </c>
      <c r="H24" s="5" t="s">
        <v>90</v>
      </c>
      <c r="I24" s="5" t="s">
        <v>16</v>
      </c>
      <c r="J24" s="5" t="s">
        <v>92</v>
      </c>
    </row>
    <row r="25" ht="21.75" customHeight="1">
      <c r="A25" s="5" t="s">
        <v>121</v>
      </c>
      <c r="B25" s="5" t="s">
        <v>122</v>
      </c>
      <c r="C25" s="5" t="s">
        <v>53</v>
      </c>
      <c r="D25" s="5" t="s">
        <v>123</v>
      </c>
      <c r="E25" s="5" t="s">
        <v>68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56</v>
      </c>
    </row>
    <row r="26" ht="21.75" customHeight="1">
      <c r="A26" s="5" t="s">
        <v>124</v>
      </c>
      <c r="B26" s="5" t="s">
        <v>125</v>
      </c>
      <c r="C26" s="5" t="s">
        <v>13</v>
      </c>
      <c r="D26" s="5" t="s">
        <v>126</v>
      </c>
      <c r="E26" s="5" t="s">
        <v>17</v>
      </c>
      <c r="F26" s="5" t="s">
        <v>16</v>
      </c>
      <c r="G26" s="5" t="s">
        <v>17</v>
      </c>
      <c r="H26" s="5" t="s">
        <v>17</v>
      </c>
      <c r="I26" s="5" t="s">
        <v>16</v>
      </c>
      <c r="J26" s="5" t="s">
        <v>18</v>
      </c>
    </row>
    <row r="27" ht="21.75" customHeight="1">
      <c r="A27" s="5" t="s">
        <v>127</v>
      </c>
      <c r="B27" s="5" t="s">
        <v>128</v>
      </c>
      <c r="C27" s="5" t="s">
        <v>129</v>
      </c>
      <c r="D27" s="5" t="s">
        <v>130</v>
      </c>
      <c r="E27" s="5" t="s">
        <v>131</v>
      </c>
      <c r="F27" s="5" t="s">
        <v>16</v>
      </c>
      <c r="G27" s="5" t="s">
        <v>16</v>
      </c>
      <c r="H27" s="5" t="s">
        <v>16</v>
      </c>
      <c r="I27" s="5" t="s">
        <v>16</v>
      </c>
      <c r="J27" s="5" t="s">
        <v>132</v>
      </c>
    </row>
    <row r="28" ht="21.75" customHeight="1">
      <c r="A28" s="5" t="s">
        <v>133</v>
      </c>
      <c r="B28" s="5" t="s">
        <v>134</v>
      </c>
      <c r="C28" s="5" t="s">
        <v>109</v>
      </c>
      <c r="D28" s="5" t="s">
        <v>135</v>
      </c>
      <c r="E28" s="5" t="s">
        <v>91</v>
      </c>
      <c r="F28" s="5" t="s">
        <v>91</v>
      </c>
      <c r="G28" s="5" t="s">
        <v>91</v>
      </c>
      <c r="H28" s="5" t="s">
        <v>91</v>
      </c>
      <c r="I28" s="5" t="s">
        <v>91</v>
      </c>
      <c r="J28" s="5" t="s">
        <v>112</v>
      </c>
    </row>
    <row r="29" ht="21.75" customHeight="1">
      <c r="A29" s="5" t="s">
        <v>136</v>
      </c>
      <c r="B29" s="5" t="s">
        <v>137</v>
      </c>
      <c r="C29" s="5" t="s">
        <v>53</v>
      </c>
      <c r="D29" s="5" t="s">
        <v>138</v>
      </c>
      <c r="E29" s="5" t="s">
        <v>55</v>
      </c>
      <c r="F29" s="5" t="s">
        <v>24</v>
      </c>
      <c r="G29" s="5" t="s">
        <v>24</v>
      </c>
      <c r="H29" s="5" t="s">
        <v>24</v>
      </c>
      <c r="I29" s="5" t="s">
        <v>24</v>
      </c>
      <c r="J29" s="5" t="s">
        <v>56</v>
      </c>
    </row>
    <row r="30" ht="21.75" customHeight="1">
      <c r="A30" s="5" t="s">
        <v>139</v>
      </c>
      <c r="B30" s="5" t="s">
        <v>140</v>
      </c>
      <c r="C30" s="5" t="s">
        <v>109</v>
      </c>
      <c r="D30" s="5" t="s">
        <v>141</v>
      </c>
      <c r="E30" s="5" t="s">
        <v>91</v>
      </c>
      <c r="F30" s="5" t="s">
        <v>91</v>
      </c>
      <c r="G30" s="5" t="s">
        <v>91</v>
      </c>
      <c r="H30" s="5" t="s">
        <v>91</v>
      </c>
      <c r="I30" s="5" t="s">
        <v>91</v>
      </c>
      <c r="J30" s="5" t="s">
        <v>112</v>
      </c>
    </row>
    <row r="31" ht="21.75" customHeight="1">
      <c r="A31" s="5" t="s">
        <v>142</v>
      </c>
      <c r="B31" s="5" t="s">
        <v>143</v>
      </c>
      <c r="C31" s="5" t="s">
        <v>72</v>
      </c>
      <c r="D31" s="5" t="s">
        <v>144</v>
      </c>
      <c r="E31" s="5" t="s">
        <v>143</v>
      </c>
      <c r="F31" s="5" t="s">
        <v>24</v>
      </c>
      <c r="G31" s="5" t="s">
        <v>25</v>
      </c>
      <c r="H31" s="5" t="s">
        <v>75</v>
      </c>
      <c r="I31" s="5" t="s">
        <v>25</v>
      </c>
      <c r="J31" s="5" t="s">
        <v>76</v>
      </c>
    </row>
    <row r="32" ht="21.75" customHeight="1">
      <c r="A32" s="5" t="s">
        <v>145</v>
      </c>
      <c r="B32" s="5" t="s">
        <v>146</v>
      </c>
      <c r="C32" s="5" t="s">
        <v>109</v>
      </c>
      <c r="D32" s="5" t="s">
        <v>147</v>
      </c>
      <c r="E32" s="5" t="s">
        <v>146</v>
      </c>
      <c r="F32" s="5" t="s">
        <v>91</v>
      </c>
      <c r="G32" s="5" t="s">
        <v>91</v>
      </c>
      <c r="H32" s="5" t="s">
        <v>91</v>
      </c>
      <c r="I32" s="5" t="s">
        <v>91</v>
      </c>
      <c r="J32" s="5" t="s">
        <v>112</v>
      </c>
    </row>
    <row r="33" ht="21.75" customHeight="1">
      <c r="A33" s="5" t="s">
        <v>148</v>
      </c>
      <c r="B33" s="5" t="s">
        <v>149</v>
      </c>
      <c r="C33" s="5" t="s">
        <v>53</v>
      </c>
      <c r="D33" s="5" t="s">
        <v>150</v>
      </c>
      <c r="E33" s="5" t="s">
        <v>74</v>
      </c>
      <c r="F33" s="5" t="s">
        <v>24</v>
      </c>
      <c r="G33" s="5" t="s">
        <v>24</v>
      </c>
      <c r="H33" s="5" t="s">
        <v>75</v>
      </c>
      <c r="I33" s="5" t="s">
        <v>24</v>
      </c>
      <c r="J33" s="5" t="s">
        <v>56</v>
      </c>
    </row>
    <row r="34" ht="21.75" customHeight="1">
      <c r="A34" s="5" t="s">
        <v>151</v>
      </c>
      <c r="B34" s="5" t="s">
        <v>39</v>
      </c>
      <c r="C34" s="5" t="s">
        <v>59</v>
      </c>
      <c r="D34" s="5" t="s">
        <v>152</v>
      </c>
      <c r="E34" s="5" t="s">
        <v>153</v>
      </c>
      <c r="F34" s="5" t="s">
        <v>24</v>
      </c>
      <c r="G34" s="5" t="s">
        <v>39</v>
      </c>
      <c r="H34" s="5" t="s">
        <v>39</v>
      </c>
      <c r="I34" s="5" t="s">
        <v>24</v>
      </c>
      <c r="J34" s="5" t="s">
        <v>62</v>
      </c>
    </row>
    <row r="35" ht="21.75" customHeight="1">
      <c r="A35" s="5" t="s">
        <v>154</v>
      </c>
      <c r="B35" s="5" t="s">
        <v>155</v>
      </c>
      <c r="C35" s="5" t="s">
        <v>72</v>
      </c>
      <c r="D35" s="5" t="s">
        <v>156</v>
      </c>
      <c r="E35" s="5" t="s">
        <v>143</v>
      </c>
      <c r="F35" s="5" t="s">
        <v>24</v>
      </c>
      <c r="G35" s="5" t="s">
        <v>25</v>
      </c>
      <c r="H35" s="5" t="s">
        <v>75</v>
      </c>
      <c r="I35" s="5" t="s">
        <v>25</v>
      </c>
      <c r="J35" s="5" t="s">
        <v>76</v>
      </c>
    </row>
    <row r="36" ht="21.75" customHeight="1">
      <c r="A36" s="5" t="s">
        <v>157</v>
      </c>
      <c r="B36" s="5" t="s">
        <v>158</v>
      </c>
      <c r="C36" s="5" t="s">
        <v>48</v>
      </c>
      <c r="D36" s="5" t="s">
        <v>159</v>
      </c>
      <c r="E36" s="5" t="s">
        <v>160</v>
      </c>
      <c r="F36" s="5" t="s">
        <v>16</v>
      </c>
      <c r="G36" s="5" t="s">
        <v>16</v>
      </c>
      <c r="H36" s="5" t="s">
        <v>16</v>
      </c>
      <c r="I36" s="5" t="s">
        <v>16</v>
      </c>
      <c r="J36" s="5" t="s">
        <v>50</v>
      </c>
    </row>
    <row r="37" ht="21.75" customHeight="1">
      <c r="A37" s="5" t="s">
        <v>161</v>
      </c>
      <c r="B37" s="5" t="s">
        <v>162</v>
      </c>
      <c r="C37" s="5" t="s">
        <v>129</v>
      </c>
      <c r="D37" s="5" t="s">
        <v>163</v>
      </c>
      <c r="E37" s="5" t="s">
        <v>162</v>
      </c>
      <c r="F37" s="5" t="s">
        <v>16</v>
      </c>
      <c r="G37" s="5" t="s">
        <v>16</v>
      </c>
      <c r="H37" s="5" t="s">
        <v>16</v>
      </c>
      <c r="I37" s="5" t="s">
        <v>16</v>
      </c>
      <c r="J37" s="5" t="s">
        <v>132</v>
      </c>
    </row>
    <row r="38" ht="21.75" customHeight="1">
      <c r="A38" s="5" t="s">
        <v>164</v>
      </c>
      <c r="B38" s="5" t="s">
        <v>165</v>
      </c>
      <c r="C38" s="5" t="s">
        <v>129</v>
      </c>
      <c r="D38" s="5" t="s">
        <v>166</v>
      </c>
      <c r="E38" s="5" t="s">
        <v>131</v>
      </c>
      <c r="F38" s="5" t="s">
        <v>16</v>
      </c>
      <c r="G38" s="5" t="s">
        <v>16</v>
      </c>
      <c r="H38" s="5" t="s">
        <v>16</v>
      </c>
      <c r="I38" s="5" t="s">
        <v>16</v>
      </c>
      <c r="J38" s="5" t="s">
        <v>132</v>
      </c>
    </row>
    <row r="39" ht="21.75" customHeight="1">
      <c r="A39" s="5" t="s">
        <v>167</v>
      </c>
      <c r="B39" s="5" t="s">
        <v>24</v>
      </c>
      <c r="C39" s="5" t="s">
        <v>168</v>
      </c>
      <c r="D39" s="5" t="s">
        <v>169</v>
      </c>
      <c r="E39" s="5" t="s">
        <v>170</v>
      </c>
      <c r="F39" s="5" t="s">
        <v>24</v>
      </c>
      <c r="G39" s="5" t="s">
        <v>24</v>
      </c>
      <c r="H39" s="5" t="s">
        <v>24</v>
      </c>
      <c r="I39" s="5" t="s">
        <v>24</v>
      </c>
      <c r="J39" s="5" t="s">
        <v>171</v>
      </c>
    </row>
    <row r="40" ht="21.75" customHeight="1">
      <c r="A40" s="5" t="s">
        <v>172</v>
      </c>
      <c r="B40" s="5" t="s">
        <v>173</v>
      </c>
      <c r="C40" s="5" t="s">
        <v>36</v>
      </c>
      <c r="D40" s="5" t="s">
        <v>174</v>
      </c>
      <c r="E40" s="5" t="s">
        <v>175</v>
      </c>
      <c r="F40" s="5" t="s">
        <v>32</v>
      </c>
      <c r="G40" s="5" t="s">
        <v>32</v>
      </c>
      <c r="H40" s="5" t="s">
        <v>32</v>
      </c>
      <c r="I40" s="5" t="s">
        <v>32</v>
      </c>
      <c r="J40" s="5" t="s">
        <v>40</v>
      </c>
    </row>
    <row r="41" ht="21.75" customHeight="1">
      <c r="A41" s="5" t="s">
        <v>176</v>
      </c>
      <c r="B41" s="5" t="s">
        <v>177</v>
      </c>
      <c r="C41" s="5" t="s">
        <v>29</v>
      </c>
      <c r="D41" s="5" t="s">
        <v>178</v>
      </c>
      <c r="E41" s="5" t="s">
        <v>179</v>
      </c>
      <c r="F41" s="5" t="s">
        <v>32</v>
      </c>
      <c r="G41" s="5" t="s">
        <v>32</v>
      </c>
      <c r="H41" s="5" t="s">
        <v>31</v>
      </c>
      <c r="I41" s="5" t="s">
        <v>32</v>
      </c>
      <c r="J41" s="5" t="s">
        <v>33</v>
      </c>
    </row>
    <row r="42" ht="21.75" customHeight="1">
      <c r="A42" s="5" t="s">
        <v>180</v>
      </c>
      <c r="B42" s="5" t="s">
        <v>181</v>
      </c>
      <c r="C42" s="5" t="s">
        <v>43</v>
      </c>
      <c r="D42" s="5" t="s">
        <v>182</v>
      </c>
      <c r="E42" s="5" t="s">
        <v>32</v>
      </c>
      <c r="F42" s="5" t="s">
        <v>32</v>
      </c>
      <c r="G42" s="5" t="s">
        <v>32</v>
      </c>
      <c r="H42" s="5" t="s">
        <v>32</v>
      </c>
      <c r="I42" s="5" t="s">
        <v>32</v>
      </c>
      <c r="J42" s="5" t="s">
        <v>40</v>
      </c>
    </row>
    <row r="43" ht="21.75" customHeight="1">
      <c r="A43" s="5" t="s">
        <v>183</v>
      </c>
      <c r="B43" s="5" t="s">
        <v>184</v>
      </c>
      <c r="C43" s="5" t="s">
        <v>185</v>
      </c>
      <c r="D43" s="5" t="s">
        <v>186</v>
      </c>
      <c r="E43" s="5" t="s">
        <v>187</v>
      </c>
      <c r="F43" s="5" t="s">
        <v>16</v>
      </c>
      <c r="G43" s="5" t="s">
        <v>17</v>
      </c>
      <c r="H43" s="5" t="s">
        <v>188</v>
      </c>
      <c r="I43" s="5" t="s">
        <v>16</v>
      </c>
      <c r="J43" s="5" t="s">
        <v>189</v>
      </c>
    </row>
    <row r="44" ht="21.75" customHeight="1">
      <c r="A44" s="5" t="s">
        <v>190</v>
      </c>
      <c r="B44" s="5" t="s">
        <v>191</v>
      </c>
      <c r="C44" s="5" t="s">
        <v>72</v>
      </c>
      <c r="D44" s="5" t="s">
        <v>192</v>
      </c>
      <c r="E44" s="5" t="s">
        <v>146</v>
      </c>
      <c r="F44" s="5" t="s">
        <v>91</v>
      </c>
      <c r="G44" s="5" t="s">
        <v>91</v>
      </c>
      <c r="H44" s="5" t="s">
        <v>91</v>
      </c>
      <c r="I44" s="5" t="s">
        <v>91</v>
      </c>
      <c r="J44" s="5" t="s">
        <v>76</v>
      </c>
    </row>
    <row r="45" ht="21.75" customHeight="1">
      <c r="A45" s="5" t="s">
        <v>193</v>
      </c>
      <c r="B45" s="5" t="s">
        <v>194</v>
      </c>
      <c r="C45" s="5" t="s">
        <v>21</v>
      </c>
      <c r="D45" s="5" t="s">
        <v>195</v>
      </c>
      <c r="E45" s="5" t="s">
        <v>23</v>
      </c>
      <c r="F45" s="5" t="s">
        <v>24</v>
      </c>
      <c r="G45" s="5" t="s">
        <v>25</v>
      </c>
      <c r="H45" s="5" t="s">
        <v>23</v>
      </c>
      <c r="I45" s="5" t="s">
        <v>25</v>
      </c>
      <c r="J45" s="5" t="s">
        <v>26</v>
      </c>
    </row>
    <row r="46" ht="21.75" customHeight="1">
      <c r="A46" s="5" t="s">
        <v>196</v>
      </c>
      <c r="B46" s="5" t="s">
        <v>197</v>
      </c>
      <c r="C46" s="5" t="s">
        <v>72</v>
      </c>
      <c r="D46" s="5" t="s">
        <v>198</v>
      </c>
      <c r="E46" s="5" t="s">
        <v>25</v>
      </c>
      <c r="F46" s="5" t="s">
        <v>24</v>
      </c>
      <c r="G46" s="5" t="s">
        <v>25</v>
      </c>
      <c r="H46" s="5" t="s">
        <v>75</v>
      </c>
      <c r="I46" s="5" t="s">
        <v>25</v>
      </c>
      <c r="J46" s="5" t="s">
        <v>76</v>
      </c>
    </row>
    <row r="47" ht="21.75" customHeight="1">
      <c r="A47" s="5" t="s">
        <v>199</v>
      </c>
      <c r="B47" s="5" t="s">
        <v>200</v>
      </c>
      <c r="C47" s="5" t="s">
        <v>201</v>
      </c>
      <c r="D47" s="5" t="s">
        <v>202</v>
      </c>
      <c r="E47" s="5" t="s">
        <v>175</v>
      </c>
      <c r="F47" s="5" t="s">
        <v>32</v>
      </c>
      <c r="G47" s="5" t="s">
        <v>24</v>
      </c>
      <c r="H47" s="5" t="s">
        <v>16</v>
      </c>
      <c r="I47" s="5" t="s">
        <v>24</v>
      </c>
      <c r="J47" s="5" t="s">
        <v>203</v>
      </c>
    </row>
    <row r="48" ht="21.75" customHeight="1">
      <c r="A48" s="5" t="s">
        <v>204</v>
      </c>
      <c r="B48" s="5" t="s">
        <v>205</v>
      </c>
      <c r="C48" s="5" t="s">
        <v>206</v>
      </c>
      <c r="D48" s="5" t="s">
        <v>207</v>
      </c>
      <c r="E48" s="5" t="s">
        <v>208</v>
      </c>
      <c r="F48" s="5" t="s">
        <v>24</v>
      </c>
      <c r="G48" s="5" t="s">
        <v>61</v>
      </c>
      <c r="H48" s="5" t="s">
        <v>61</v>
      </c>
      <c r="I48" s="5" t="s">
        <v>61</v>
      </c>
      <c r="J48" s="5" t="s">
        <v>209</v>
      </c>
    </row>
    <row r="49" ht="21.75" customHeight="1">
      <c r="A49" s="5" t="s">
        <v>210</v>
      </c>
      <c r="B49" s="5" t="s">
        <v>211</v>
      </c>
      <c r="C49" s="5" t="s">
        <v>43</v>
      </c>
      <c r="D49" s="5" t="s">
        <v>212</v>
      </c>
      <c r="E49" s="5" t="s">
        <v>98</v>
      </c>
      <c r="F49" s="5" t="s">
        <v>16</v>
      </c>
      <c r="G49" s="5" t="s">
        <v>16</v>
      </c>
      <c r="H49" s="5" t="s">
        <v>16</v>
      </c>
      <c r="I49" s="5" t="s">
        <v>16</v>
      </c>
      <c r="J49" s="5" t="s">
        <v>40</v>
      </c>
    </row>
    <row r="50" ht="21.75" customHeight="1">
      <c r="A50" s="5" t="s">
        <v>213</v>
      </c>
      <c r="B50" s="5" t="s">
        <v>214</v>
      </c>
      <c r="C50" s="5" t="s">
        <v>72</v>
      </c>
      <c r="D50" s="5" t="s">
        <v>215</v>
      </c>
      <c r="E50" s="5" t="s">
        <v>216</v>
      </c>
      <c r="F50" s="5" t="s">
        <v>91</v>
      </c>
      <c r="G50" s="5" t="s">
        <v>91</v>
      </c>
      <c r="H50" s="5" t="s">
        <v>91</v>
      </c>
      <c r="I50" s="5" t="s">
        <v>91</v>
      </c>
      <c r="J50" s="5" t="s">
        <v>76</v>
      </c>
    </row>
    <row r="51" ht="21.75" customHeight="1">
      <c r="A51" s="5" t="s">
        <v>217</v>
      </c>
      <c r="B51" s="5" t="s">
        <v>218</v>
      </c>
      <c r="C51" s="5" t="s">
        <v>59</v>
      </c>
      <c r="D51" s="5" t="s">
        <v>219</v>
      </c>
      <c r="E51" s="5" t="s">
        <v>220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62</v>
      </c>
    </row>
    <row r="52" ht="21.75" customHeight="1">
      <c r="A52" s="5" t="s">
        <v>221</v>
      </c>
      <c r="B52" s="5" t="s">
        <v>188</v>
      </c>
      <c r="C52" s="5" t="s">
        <v>185</v>
      </c>
      <c r="D52" s="5" t="s">
        <v>222</v>
      </c>
      <c r="E52" s="5" t="s">
        <v>223</v>
      </c>
      <c r="F52" s="5" t="s">
        <v>16</v>
      </c>
      <c r="G52" s="5" t="s">
        <v>17</v>
      </c>
      <c r="H52" s="5" t="s">
        <v>188</v>
      </c>
      <c r="I52" s="5" t="s">
        <v>16</v>
      </c>
      <c r="J52" s="5" t="s">
        <v>189</v>
      </c>
    </row>
    <row r="53" ht="21.75" customHeight="1">
      <c r="A53" s="5" t="s">
        <v>224</v>
      </c>
      <c r="B53" s="5" t="s">
        <v>225</v>
      </c>
      <c r="C53" s="5" t="s">
        <v>185</v>
      </c>
      <c r="D53" s="5" t="s">
        <v>226</v>
      </c>
      <c r="E53" s="5" t="s">
        <v>227</v>
      </c>
      <c r="F53" s="5" t="s">
        <v>16</v>
      </c>
      <c r="G53" s="5" t="s">
        <v>17</v>
      </c>
      <c r="H53" s="5" t="s">
        <v>188</v>
      </c>
      <c r="I53" s="5" t="s">
        <v>16</v>
      </c>
      <c r="J53" s="5" t="s">
        <v>189</v>
      </c>
    </row>
    <row r="54" ht="21.75" customHeight="1">
      <c r="A54" s="5" t="s">
        <v>228</v>
      </c>
      <c r="B54" s="5" t="s">
        <v>229</v>
      </c>
      <c r="C54" s="5" t="s">
        <v>53</v>
      </c>
      <c r="D54" s="5" t="s">
        <v>230</v>
      </c>
      <c r="E54" s="5" t="s">
        <v>68</v>
      </c>
      <c r="F54" s="5" t="s">
        <v>24</v>
      </c>
      <c r="G54" s="5" t="s">
        <v>24</v>
      </c>
      <c r="H54" s="5" t="s">
        <v>24</v>
      </c>
      <c r="I54" s="5" t="s">
        <v>24</v>
      </c>
      <c r="J54" s="5" t="s">
        <v>56</v>
      </c>
    </row>
    <row r="55" ht="21.75" customHeight="1">
      <c r="A55" s="5" t="s">
        <v>231</v>
      </c>
      <c r="B55" s="5" t="s">
        <v>232</v>
      </c>
      <c r="C55" s="5" t="s">
        <v>36</v>
      </c>
      <c r="D55" s="5" t="s">
        <v>233</v>
      </c>
      <c r="E55" s="5" t="s">
        <v>32</v>
      </c>
      <c r="F55" s="5" t="s">
        <v>32</v>
      </c>
      <c r="G55" s="5" t="s">
        <v>32</v>
      </c>
      <c r="H55" s="5" t="s">
        <v>32</v>
      </c>
      <c r="I55" s="5" t="s">
        <v>32</v>
      </c>
      <c r="J55" s="5" t="s">
        <v>40</v>
      </c>
    </row>
    <row r="56" ht="21.75" customHeight="1">
      <c r="A56" s="5" t="s">
        <v>234</v>
      </c>
      <c r="B56" s="5" t="s">
        <v>131</v>
      </c>
      <c r="C56" s="5" t="s">
        <v>129</v>
      </c>
      <c r="D56" s="5" t="s">
        <v>235</v>
      </c>
      <c r="E56" s="5" t="s">
        <v>131</v>
      </c>
      <c r="F56" s="5" t="s">
        <v>16</v>
      </c>
      <c r="G56" s="5" t="s">
        <v>16</v>
      </c>
      <c r="H56" s="5" t="s">
        <v>16</v>
      </c>
      <c r="I56" s="5" t="s">
        <v>16</v>
      </c>
      <c r="J56" s="5" t="s">
        <v>132</v>
      </c>
    </row>
    <row r="57" ht="21.75" customHeight="1">
      <c r="A57" s="5" t="s">
        <v>236</v>
      </c>
      <c r="B57" s="5" t="s">
        <v>237</v>
      </c>
      <c r="C57" s="5" t="s">
        <v>13</v>
      </c>
      <c r="D57" s="5" t="s">
        <v>238</v>
      </c>
      <c r="E57" s="5" t="s">
        <v>15</v>
      </c>
      <c r="F57" s="5" t="s">
        <v>16</v>
      </c>
      <c r="G57" s="5" t="s">
        <v>17</v>
      </c>
      <c r="H57" s="5" t="s">
        <v>17</v>
      </c>
      <c r="I57" s="5" t="s">
        <v>16</v>
      </c>
      <c r="J57" s="5" t="s">
        <v>18</v>
      </c>
    </row>
    <row r="58" ht="21.75" customHeight="1">
      <c r="A58" s="5" t="s">
        <v>239</v>
      </c>
      <c r="B58" s="5" t="s">
        <v>240</v>
      </c>
      <c r="C58" s="5" t="s">
        <v>201</v>
      </c>
      <c r="D58" s="5" t="s">
        <v>241</v>
      </c>
      <c r="E58" s="5" t="s">
        <v>175</v>
      </c>
      <c r="F58" s="5" t="s">
        <v>32</v>
      </c>
      <c r="G58" s="5" t="s">
        <v>24</v>
      </c>
      <c r="H58" s="5" t="s">
        <v>16</v>
      </c>
      <c r="I58" s="5" t="s">
        <v>24</v>
      </c>
      <c r="J58" s="5" t="s">
        <v>203</v>
      </c>
    </row>
    <row r="59" ht="21.75" customHeight="1">
      <c r="A59" s="5" t="s">
        <v>242</v>
      </c>
      <c r="B59" s="5" t="s">
        <v>243</v>
      </c>
      <c r="C59" s="5" t="s">
        <v>109</v>
      </c>
      <c r="D59" s="5" t="s">
        <v>244</v>
      </c>
      <c r="E59" s="5" t="s">
        <v>111</v>
      </c>
      <c r="F59" s="5" t="s">
        <v>91</v>
      </c>
      <c r="G59" s="5" t="s">
        <v>91</v>
      </c>
      <c r="H59" s="5" t="s">
        <v>91</v>
      </c>
      <c r="I59" s="5" t="s">
        <v>91</v>
      </c>
      <c r="J59" s="5" t="s">
        <v>203</v>
      </c>
    </row>
    <row r="60" ht="21.75" customHeight="1">
      <c r="A60" s="5" t="s">
        <v>245</v>
      </c>
      <c r="B60" s="5" t="s">
        <v>246</v>
      </c>
      <c r="C60" s="5" t="s">
        <v>109</v>
      </c>
      <c r="D60" s="5" t="s">
        <v>247</v>
      </c>
      <c r="E60" s="5" t="s">
        <v>91</v>
      </c>
      <c r="F60" s="5" t="s">
        <v>91</v>
      </c>
      <c r="G60" s="5" t="s">
        <v>91</v>
      </c>
      <c r="H60" s="5" t="s">
        <v>91</v>
      </c>
      <c r="I60" s="5" t="s">
        <v>91</v>
      </c>
      <c r="J60" s="5" t="s">
        <v>112</v>
      </c>
    </row>
    <row r="61" ht="21.75" customHeight="1">
      <c r="A61" s="5" t="s">
        <v>248</v>
      </c>
      <c r="B61" s="5" t="s">
        <v>249</v>
      </c>
      <c r="C61" s="5" t="s">
        <v>36</v>
      </c>
      <c r="D61" s="5" t="s">
        <v>250</v>
      </c>
      <c r="E61" s="5" t="s">
        <v>32</v>
      </c>
      <c r="F61" s="5" t="s">
        <v>32</v>
      </c>
      <c r="G61" s="5" t="s">
        <v>32</v>
      </c>
      <c r="H61" s="5" t="s">
        <v>32</v>
      </c>
      <c r="I61" s="5" t="s">
        <v>32</v>
      </c>
      <c r="J61" s="5" t="s">
        <v>40</v>
      </c>
    </row>
    <row r="62" ht="21.75" customHeight="1">
      <c r="A62" s="5" t="s">
        <v>251</v>
      </c>
      <c r="B62" s="5" t="s">
        <v>252</v>
      </c>
      <c r="C62" s="5" t="s">
        <v>72</v>
      </c>
      <c r="D62" s="5" t="s">
        <v>253</v>
      </c>
      <c r="E62" s="5" t="s">
        <v>252</v>
      </c>
      <c r="F62" s="5" t="s">
        <v>91</v>
      </c>
      <c r="G62" s="5" t="s">
        <v>91</v>
      </c>
      <c r="H62" s="5" t="s">
        <v>91</v>
      </c>
      <c r="I62" s="5" t="s">
        <v>91</v>
      </c>
      <c r="J62" s="5" t="s">
        <v>76</v>
      </c>
    </row>
    <row r="63" ht="21.75" customHeight="1">
      <c r="A63" s="5" t="s">
        <v>254</v>
      </c>
      <c r="B63" s="5" t="s">
        <v>38</v>
      </c>
      <c r="C63" s="5" t="s">
        <v>36</v>
      </c>
      <c r="D63" s="5" t="s">
        <v>255</v>
      </c>
      <c r="E63" s="5" t="s">
        <v>38</v>
      </c>
      <c r="F63" s="5" t="s">
        <v>32</v>
      </c>
      <c r="G63" s="5" t="s">
        <v>39</v>
      </c>
      <c r="H63" s="5" t="s">
        <v>32</v>
      </c>
      <c r="I63" s="5" t="s">
        <v>24</v>
      </c>
      <c r="J63" s="5" t="s">
        <v>40</v>
      </c>
    </row>
    <row r="64" ht="21.75" customHeight="1">
      <c r="A64" s="5" t="s">
        <v>256</v>
      </c>
      <c r="B64" s="5" t="s">
        <v>257</v>
      </c>
      <c r="C64" s="5" t="s">
        <v>206</v>
      </c>
      <c r="D64" s="5" t="s">
        <v>258</v>
      </c>
      <c r="E64" s="5" t="s">
        <v>208</v>
      </c>
      <c r="F64" s="5" t="s">
        <v>24</v>
      </c>
      <c r="G64" s="5" t="s">
        <v>61</v>
      </c>
      <c r="H64" s="5" t="s">
        <v>61</v>
      </c>
      <c r="I64" s="5" t="s">
        <v>61</v>
      </c>
      <c r="J64" s="5" t="s">
        <v>209</v>
      </c>
    </row>
    <row r="65" ht="21.75" customHeight="1">
      <c r="A65" s="5" t="s">
        <v>259</v>
      </c>
      <c r="B65" s="5" t="s">
        <v>260</v>
      </c>
      <c r="C65" s="5" t="s">
        <v>48</v>
      </c>
      <c r="D65" s="5" t="s">
        <v>261</v>
      </c>
      <c r="E65" s="5" t="s">
        <v>223</v>
      </c>
      <c r="F65" s="5" t="s">
        <v>16</v>
      </c>
      <c r="G65" s="5" t="s">
        <v>17</v>
      </c>
      <c r="H65" s="5" t="s">
        <v>188</v>
      </c>
      <c r="I65" s="5" t="s">
        <v>16</v>
      </c>
      <c r="J65" s="5" t="s">
        <v>50</v>
      </c>
    </row>
    <row r="66" ht="21.75" customHeight="1">
      <c r="A66" s="5" t="s">
        <v>262</v>
      </c>
      <c r="B66" s="5" t="s">
        <v>263</v>
      </c>
      <c r="C66" s="5" t="s">
        <v>29</v>
      </c>
      <c r="D66" s="5" t="s">
        <v>264</v>
      </c>
      <c r="E66" s="5" t="s">
        <v>31</v>
      </c>
      <c r="F66" s="5" t="s">
        <v>32</v>
      </c>
      <c r="G66" s="5" t="s">
        <v>32</v>
      </c>
      <c r="H66" s="5" t="s">
        <v>31</v>
      </c>
      <c r="I66" s="5" t="s">
        <v>32</v>
      </c>
      <c r="J66" s="5" t="s">
        <v>33</v>
      </c>
    </row>
    <row r="67" ht="21.75" customHeight="1">
      <c r="A67" s="5" t="s">
        <v>265</v>
      </c>
      <c r="B67" s="5" t="s">
        <v>266</v>
      </c>
      <c r="C67" s="5" t="s">
        <v>87</v>
      </c>
      <c r="D67" s="5" t="s">
        <v>267</v>
      </c>
      <c r="E67" s="5" t="s">
        <v>89</v>
      </c>
      <c r="F67" s="5" t="s">
        <v>16</v>
      </c>
      <c r="G67" s="5" t="s">
        <v>90</v>
      </c>
      <c r="H67" s="5" t="s">
        <v>90</v>
      </c>
      <c r="I67" s="5" t="s">
        <v>16</v>
      </c>
      <c r="J67" s="5" t="s">
        <v>92</v>
      </c>
    </row>
    <row r="68" ht="21.75" customHeight="1">
      <c r="A68" s="5" t="s">
        <v>268</v>
      </c>
      <c r="B68" s="5" t="s">
        <v>269</v>
      </c>
      <c r="C68" s="5" t="s">
        <v>82</v>
      </c>
      <c r="D68" s="5" t="s">
        <v>270</v>
      </c>
      <c r="E68" s="5" t="s">
        <v>74</v>
      </c>
      <c r="F68" s="5" t="s">
        <v>24</v>
      </c>
      <c r="G68" s="5" t="s">
        <v>75</v>
      </c>
      <c r="H68" s="5" t="s">
        <v>75</v>
      </c>
      <c r="I68" s="5" t="s">
        <v>75</v>
      </c>
      <c r="J68" s="5" t="s">
        <v>26</v>
      </c>
    </row>
    <row r="69" ht="21.75" customHeight="1">
      <c r="A69" s="5" t="s">
        <v>271</v>
      </c>
      <c r="B69" s="5" t="s">
        <v>32</v>
      </c>
      <c r="C69" s="5" t="s">
        <v>168</v>
      </c>
      <c r="D69" s="5" t="s">
        <v>272</v>
      </c>
      <c r="E69" s="5" t="s">
        <v>32</v>
      </c>
      <c r="F69" s="5" t="s">
        <v>32</v>
      </c>
      <c r="G69" s="5" t="s">
        <v>32</v>
      </c>
      <c r="H69" s="5" t="s">
        <v>32</v>
      </c>
      <c r="I69" s="5" t="s">
        <v>32</v>
      </c>
      <c r="J69" s="5" t="s">
        <v>40</v>
      </c>
    </row>
    <row r="70" ht="21.75" customHeight="1">
      <c r="A70" s="5" t="s">
        <v>273</v>
      </c>
      <c r="B70" s="5" t="s">
        <v>274</v>
      </c>
      <c r="C70" s="5" t="s">
        <v>87</v>
      </c>
      <c r="D70" s="5" t="s">
        <v>275</v>
      </c>
      <c r="E70" s="5" t="s">
        <v>89</v>
      </c>
      <c r="F70" s="5" t="s">
        <v>16</v>
      </c>
      <c r="G70" s="5" t="s">
        <v>90</v>
      </c>
      <c r="H70" s="5" t="s">
        <v>90</v>
      </c>
      <c r="I70" s="5" t="s">
        <v>91</v>
      </c>
      <c r="J70" s="5" t="s">
        <v>92</v>
      </c>
    </row>
    <row r="71" ht="21.75" customHeight="1">
      <c r="A71" s="5" t="s">
        <v>276</v>
      </c>
      <c r="B71" s="5" t="s">
        <v>277</v>
      </c>
      <c r="C71" s="5" t="s">
        <v>82</v>
      </c>
      <c r="D71" s="5" t="s">
        <v>278</v>
      </c>
      <c r="E71" s="5" t="s">
        <v>74</v>
      </c>
      <c r="F71" s="5" t="s">
        <v>24</v>
      </c>
      <c r="G71" s="5" t="s">
        <v>75</v>
      </c>
      <c r="H71" s="5" t="s">
        <v>75</v>
      </c>
      <c r="I71" s="5" t="s">
        <v>75</v>
      </c>
      <c r="J71" s="5" t="s">
        <v>26</v>
      </c>
    </row>
    <row r="72" ht="21.75" customHeight="1">
      <c r="A72" s="5" t="s">
        <v>279</v>
      </c>
      <c r="B72" s="5" t="s">
        <v>280</v>
      </c>
      <c r="C72" s="5" t="s">
        <v>72</v>
      </c>
      <c r="D72" s="5" t="s">
        <v>281</v>
      </c>
      <c r="E72" s="5" t="s">
        <v>111</v>
      </c>
      <c r="F72" s="5" t="s">
        <v>91</v>
      </c>
      <c r="G72" s="5" t="s">
        <v>91</v>
      </c>
      <c r="H72" s="5" t="s">
        <v>75</v>
      </c>
      <c r="I72" s="5" t="s">
        <v>75</v>
      </c>
      <c r="J72" s="5" t="s">
        <v>76</v>
      </c>
    </row>
    <row r="73" ht="21.75" customHeight="1">
      <c r="A73" s="5" t="s">
        <v>282</v>
      </c>
      <c r="B73" s="5" t="s">
        <v>283</v>
      </c>
      <c r="C73" s="5" t="s">
        <v>29</v>
      </c>
      <c r="D73" s="5" t="s">
        <v>284</v>
      </c>
      <c r="E73" s="5" t="s">
        <v>179</v>
      </c>
      <c r="F73" s="5" t="s">
        <v>32</v>
      </c>
      <c r="G73" s="5" t="s">
        <v>32</v>
      </c>
      <c r="H73" s="5" t="s">
        <v>31</v>
      </c>
      <c r="I73" s="5" t="s">
        <v>32</v>
      </c>
      <c r="J73" s="5" t="s">
        <v>33</v>
      </c>
    </row>
    <row r="74" ht="21.75" customHeight="1">
      <c r="A74" s="5" t="s">
        <v>285</v>
      </c>
      <c r="B74" s="5" t="s">
        <v>286</v>
      </c>
      <c r="C74" s="5" t="s">
        <v>29</v>
      </c>
      <c r="D74" s="5" t="s">
        <v>287</v>
      </c>
      <c r="E74" s="5" t="s">
        <v>288</v>
      </c>
      <c r="F74" s="5" t="s">
        <v>32</v>
      </c>
      <c r="G74" s="5" t="s">
        <v>32</v>
      </c>
      <c r="H74" s="5" t="s">
        <v>31</v>
      </c>
      <c r="I74" s="5" t="s">
        <v>32</v>
      </c>
      <c r="J74" s="5" t="s">
        <v>33</v>
      </c>
    </row>
    <row r="75" ht="21.75" customHeight="1">
      <c r="A75" s="5" t="s">
        <v>289</v>
      </c>
      <c r="B75" s="5" t="s">
        <v>290</v>
      </c>
      <c r="C75" s="5" t="s">
        <v>21</v>
      </c>
      <c r="D75" s="5" t="s">
        <v>291</v>
      </c>
      <c r="E75" s="5" t="s">
        <v>23</v>
      </c>
      <c r="F75" s="5" t="s">
        <v>24</v>
      </c>
      <c r="G75" s="5" t="s">
        <v>75</v>
      </c>
      <c r="H75" s="5" t="s">
        <v>23</v>
      </c>
      <c r="I75" s="5" t="s">
        <v>75</v>
      </c>
      <c r="J75" s="5" t="s">
        <v>26</v>
      </c>
    </row>
    <row r="76" ht="21.75" customHeight="1">
      <c r="A76" s="5" t="s">
        <v>292</v>
      </c>
      <c r="B76" s="5" t="s">
        <v>293</v>
      </c>
      <c r="C76" s="5" t="s">
        <v>72</v>
      </c>
      <c r="D76" s="5" t="s">
        <v>294</v>
      </c>
      <c r="E76" s="5" t="s">
        <v>146</v>
      </c>
      <c r="F76" s="5" t="s">
        <v>91</v>
      </c>
      <c r="G76" s="5" t="s">
        <v>91</v>
      </c>
      <c r="H76" s="5" t="s">
        <v>91</v>
      </c>
      <c r="I76" s="5" t="s">
        <v>91</v>
      </c>
      <c r="J76" s="5" t="s">
        <v>76</v>
      </c>
    </row>
    <row r="77" ht="21.75" customHeight="1">
      <c r="A77" s="5" t="s">
        <v>295</v>
      </c>
      <c r="B77" s="5" t="s">
        <v>296</v>
      </c>
      <c r="C77" s="5" t="s">
        <v>43</v>
      </c>
      <c r="D77" s="5" t="s">
        <v>297</v>
      </c>
      <c r="E77" s="5" t="s">
        <v>98</v>
      </c>
      <c r="F77" s="5" t="s">
        <v>16</v>
      </c>
      <c r="G77" s="5" t="s">
        <v>16</v>
      </c>
      <c r="H77" s="5" t="s">
        <v>16</v>
      </c>
      <c r="I77" s="5" t="s">
        <v>16</v>
      </c>
      <c r="J77" s="5" t="s">
        <v>40</v>
      </c>
    </row>
    <row r="78" ht="21.75" customHeight="1">
      <c r="A78" s="5" t="s">
        <v>298</v>
      </c>
      <c r="B78" s="5" t="s">
        <v>299</v>
      </c>
      <c r="C78" s="5" t="s">
        <v>82</v>
      </c>
      <c r="D78" s="5" t="s">
        <v>300</v>
      </c>
      <c r="E78" s="5" t="s">
        <v>66</v>
      </c>
      <c r="F78" s="5" t="s">
        <v>24</v>
      </c>
      <c r="G78" s="5" t="s">
        <v>75</v>
      </c>
      <c r="H78" s="5" t="s">
        <v>75</v>
      </c>
      <c r="I78" s="5" t="s">
        <v>75</v>
      </c>
      <c r="J78" s="5" t="s">
        <v>26</v>
      </c>
    </row>
    <row r="79" ht="21.75" customHeight="1">
      <c r="A79" s="5" t="s">
        <v>301</v>
      </c>
      <c r="B79" s="5" t="s">
        <v>302</v>
      </c>
      <c r="C79" s="5" t="s">
        <v>13</v>
      </c>
      <c r="D79" s="5" t="s">
        <v>303</v>
      </c>
      <c r="E79" s="5" t="s">
        <v>17</v>
      </c>
      <c r="F79" s="5" t="s">
        <v>16</v>
      </c>
      <c r="G79" s="5" t="s">
        <v>17</v>
      </c>
      <c r="H79" s="5" t="s">
        <v>17</v>
      </c>
      <c r="I79" s="5" t="s">
        <v>16</v>
      </c>
      <c r="J79" s="5" t="s">
        <v>18</v>
      </c>
    </row>
    <row r="80" ht="21.75" customHeight="1">
      <c r="A80" s="5" t="s">
        <v>304</v>
      </c>
      <c r="B80" s="5" t="s">
        <v>305</v>
      </c>
      <c r="C80" s="5" t="s">
        <v>87</v>
      </c>
      <c r="D80" s="5" t="s">
        <v>306</v>
      </c>
      <c r="E80" s="5" t="s">
        <v>89</v>
      </c>
      <c r="F80" s="5" t="s">
        <v>16</v>
      </c>
      <c r="G80" s="5" t="s">
        <v>90</v>
      </c>
      <c r="H80" s="5" t="s">
        <v>90</v>
      </c>
      <c r="I80" s="5" t="s">
        <v>16</v>
      </c>
      <c r="J80" s="5" t="s">
        <v>92</v>
      </c>
    </row>
    <row r="81" ht="21.75" customHeight="1">
      <c r="A81" s="5" t="s">
        <v>307</v>
      </c>
      <c r="B81" s="5" t="s">
        <v>308</v>
      </c>
      <c r="C81" s="5" t="s">
        <v>13</v>
      </c>
      <c r="D81" s="5" t="s">
        <v>309</v>
      </c>
      <c r="E81" s="5" t="s">
        <v>15</v>
      </c>
      <c r="F81" s="5" t="s">
        <v>16</v>
      </c>
      <c r="G81" s="5" t="s">
        <v>17</v>
      </c>
      <c r="H81" s="5" t="s">
        <v>17</v>
      </c>
      <c r="I81" s="5" t="s">
        <v>16</v>
      </c>
      <c r="J81" s="5" t="s">
        <v>18</v>
      </c>
    </row>
    <row r="82" ht="21.75" customHeight="1">
      <c r="A82" s="5" t="s">
        <v>310</v>
      </c>
      <c r="B82" s="5" t="s">
        <v>311</v>
      </c>
      <c r="C82" s="5" t="s">
        <v>87</v>
      </c>
      <c r="D82" s="5" t="s">
        <v>312</v>
      </c>
      <c r="E82" s="5" t="s">
        <v>313</v>
      </c>
      <c r="F82" s="5" t="s">
        <v>16</v>
      </c>
      <c r="G82" s="5" t="s">
        <v>16</v>
      </c>
      <c r="H82" s="5" t="s">
        <v>16</v>
      </c>
      <c r="I82" s="5" t="s">
        <v>16</v>
      </c>
      <c r="J82" s="5" t="s">
        <v>92</v>
      </c>
    </row>
    <row r="83" ht="21.75" customHeight="1">
      <c r="A83" s="5" t="s">
        <v>314</v>
      </c>
      <c r="B83" s="5" t="s">
        <v>315</v>
      </c>
      <c r="C83" s="5" t="s">
        <v>59</v>
      </c>
      <c r="D83" s="5" t="s">
        <v>316</v>
      </c>
      <c r="E83" s="5" t="s">
        <v>153</v>
      </c>
      <c r="F83" s="5" t="s">
        <v>24</v>
      </c>
      <c r="G83" s="5" t="s">
        <v>24</v>
      </c>
      <c r="H83" s="5" t="s">
        <v>24</v>
      </c>
      <c r="I83" s="5" t="s">
        <v>24</v>
      </c>
      <c r="J83" s="5" t="s">
        <v>62</v>
      </c>
    </row>
    <row r="84" ht="21.75" customHeight="1">
      <c r="A84" s="5" t="s">
        <v>317</v>
      </c>
      <c r="B84" s="5" t="s">
        <v>318</v>
      </c>
      <c r="C84" s="5" t="s">
        <v>72</v>
      </c>
      <c r="D84" s="5" t="s">
        <v>319</v>
      </c>
      <c r="E84" s="5" t="s">
        <v>146</v>
      </c>
      <c r="F84" s="5" t="s">
        <v>91</v>
      </c>
      <c r="G84" s="5" t="s">
        <v>91</v>
      </c>
      <c r="H84" s="5" t="s">
        <v>91</v>
      </c>
      <c r="I84" s="5" t="s">
        <v>91</v>
      </c>
      <c r="J84" s="5" t="s">
        <v>76</v>
      </c>
    </row>
    <row r="85" ht="21.75" customHeight="1">
      <c r="A85" s="5" t="s">
        <v>320</v>
      </c>
      <c r="B85" s="5" t="s">
        <v>321</v>
      </c>
      <c r="C85" s="5" t="s">
        <v>29</v>
      </c>
      <c r="D85" s="5" t="s">
        <v>322</v>
      </c>
      <c r="E85" s="5" t="s">
        <v>179</v>
      </c>
      <c r="F85" s="5" t="s">
        <v>32</v>
      </c>
      <c r="G85" s="5" t="s">
        <v>32</v>
      </c>
      <c r="H85" s="5" t="s">
        <v>31</v>
      </c>
      <c r="I85" s="5" t="s">
        <v>32</v>
      </c>
      <c r="J85" s="5" t="s">
        <v>33</v>
      </c>
    </row>
    <row r="86" ht="21.75" customHeight="1">
      <c r="A86" s="5" t="s">
        <v>323</v>
      </c>
      <c r="B86" s="5" t="s">
        <v>324</v>
      </c>
      <c r="C86" s="5" t="s">
        <v>109</v>
      </c>
      <c r="D86" s="5" t="s">
        <v>325</v>
      </c>
      <c r="E86" s="5" t="s">
        <v>91</v>
      </c>
      <c r="F86" s="5" t="s">
        <v>91</v>
      </c>
      <c r="G86" s="5" t="s">
        <v>91</v>
      </c>
      <c r="H86" s="5" t="s">
        <v>91</v>
      </c>
      <c r="I86" s="5" t="s">
        <v>91</v>
      </c>
      <c r="J86" s="5" t="s">
        <v>112</v>
      </c>
    </row>
    <row r="87" ht="21.75" customHeight="1">
      <c r="A87" s="5" t="s">
        <v>326</v>
      </c>
      <c r="B87" s="5" t="s">
        <v>327</v>
      </c>
      <c r="C87" s="5" t="s">
        <v>48</v>
      </c>
      <c r="D87" s="5" t="s">
        <v>328</v>
      </c>
      <c r="E87" s="5" t="s">
        <v>15</v>
      </c>
      <c r="F87" s="5" t="s">
        <v>16</v>
      </c>
      <c r="G87" s="5" t="s">
        <v>17</v>
      </c>
      <c r="H87" s="5" t="s">
        <v>17</v>
      </c>
      <c r="I87" s="5" t="s">
        <v>16</v>
      </c>
      <c r="J87" s="5" t="s">
        <v>50</v>
      </c>
    </row>
    <row r="88" ht="21.75" customHeight="1">
      <c r="A88" s="5" t="s">
        <v>329</v>
      </c>
      <c r="B88" s="5" t="s">
        <v>102</v>
      </c>
      <c r="C88" s="5" t="s">
        <v>72</v>
      </c>
      <c r="D88" s="5" t="s">
        <v>330</v>
      </c>
      <c r="E88" s="5" t="s">
        <v>102</v>
      </c>
      <c r="F88" s="5" t="s">
        <v>24</v>
      </c>
      <c r="G88" s="5" t="s">
        <v>25</v>
      </c>
      <c r="H88" s="5" t="s">
        <v>75</v>
      </c>
      <c r="I88" s="5" t="s">
        <v>25</v>
      </c>
      <c r="J88" s="5" t="s">
        <v>76</v>
      </c>
    </row>
    <row r="89" ht="21.75" customHeight="1">
      <c r="A89" s="5" t="s">
        <v>331</v>
      </c>
      <c r="B89" s="5" t="s">
        <v>332</v>
      </c>
      <c r="C89" s="5" t="s">
        <v>43</v>
      </c>
      <c r="D89" s="5" t="s">
        <v>333</v>
      </c>
      <c r="E89" s="5" t="s">
        <v>32</v>
      </c>
      <c r="F89" s="5" t="s">
        <v>32</v>
      </c>
      <c r="G89" s="5" t="s">
        <v>32</v>
      </c>
      <c r="H89" s="5" t="s">
        <v>32</v>
      </c>
      <c r="I89" s="5" t="s">
        <v>32</v>
      </c>
      <c r="J89" s="5" t="s">
        <v>40</v>
      </c>
    </row>
    <row r="90" ht="21.75" customHeight="1">
      <c r="A90" s="5" t="s">
        <v>334</v>
      </c>
      <c r="B90" s="5" t="s">
        <v>335</v>
      </c>
      <c r="C90" s="5" t="s">
        <v>43</v>
      </c>
      <c r="D90" s="5" t="s">
        <v>336</v>
      </c>
      <c r="E90" s="5" t="s">
        <v>45</v>
      </c>
      <c r="F90" s="5" t="s">
        <v>16</v>
      </c>
      <c r="G90" s="5" t="s">
        <v>32</v>
      </c>
      <c r="H90" s="5" t="s">
        <v>32</v>
      </c>
      <c r="I90" s="5" t="s">
        <v>32</v>
      </c>
      <c r="J90" s="5" t="s">
        <v>40</v>
      </c>
    </row>
    <row r="91" ht="21.75" customHeight="1">
      <c r="A91" s="5" t="s">
        <v>337</v>
      </c>
      <c r="B91" s="5" t="s">
        <v>338</v>
      </c>
      <c r="C91" s="5" t="s">
        <v>48</v>
      </c>
      <c r="D91" s="5" t="s">
        <v>339</v>
      </c>
      <c r="E91" s="5" t="s">
        <v>47</v>
      </c>
      <c r="F91" s="5" t="s">
        <v>16</v>
      </c>
      <c r="G91" s="5" t="s">
        <v>17</v>
      </c>
      <c r="H91" s="5" t="s">
        <v>17</v>
      </c>
      <c r="I91" s="5" t="s">
        <v>16</v>
      </c>
      <c r="J91" s="5" t="s">
        <v>50</v>
      </c>
    </row>
    <row r="92" ht="21.75" customHeight="1">
      <c r="A92" s="5" t="s">
        <v>340</v>
      </c>
      <c r="B92" s="5" t="s">
        <v>341</v>
      </c>
      <c r="C92" s="5" t="s">
        <v>87</v>
      </c>
      <c r="D92" s="5" t="s">
        <v>342</v>
      </c>
      <c r="E92" s="5" t="s">
        <v>343</v>
      </c>
      <c r="F92" s="5" t="s">
        <v>91</v>
      </c>
      <c r="G92" s="5" t="s">
        <v>90</v>
      </c>
      <c r="H92" s="5" t="s">
        <v>90</v>
      </c>
      <c r="I92" s="5" t="s">
        <v>91</v>
      </c>
      <c r="J92" s="5" t="s">
        <v>92</v>
      </c>
    </row>
    <row r="93" ht="21.75" customHeight="1">
      <c r="A93" s="5" t="s">
        <v>344</v>
      </c>
      <c r="B93" s="5" t="s">
        <v>345</v>
      </c>
      <c r="C93" s="5" t="s">
        <v>82</v>
      </c>
      <c r="D93" s="5" t="s">
        <v>346</v>
      </c>
      <c r="E93" s="5" t="s">
        <v>74</v>
      </c>
      <c r="F93" s="5" t="s">
        <v>24</v>
      </c>
      <c r="G93" s="5" t="s">
        <v>75</v>
      </c>
      <c r="H93" s="5" t="s">
        <v>75</v>
      </c>
      <c r="I93" s="5" t="s">
        <v>75</v>
      </c>
      <c r="J93" s="5" t="s">
        <v>26</v>
      </c>
    </row>
    <row r="94" ht="21.75" customHeight="1">
      <c r="A94" s="5" t="s">
        <v>347</v>
      </c>
      <c r="B94" s="5" t="s">
        <v>348</v>
      </c>
      <c r="C94" s="5" t="s">
        <v>29</v>
      </c>
      <c r="D94" s="5" t="s">
        <v>349</v>
      </c>
      <c r="E94" s="5" t="s">
        <v>45</v>
      </c>
      <c r="F94" s="5" t="s">
        <v>16</v>
      </c>
      <c r="G94" s="5" t="s">
        <v>32</v>
      </c>
      <c r="H94" s="5" t="s">
        <v>32</v>
      </c>
      <c r="I94" s="5" t="s">
        <v>32</v>
      </c>
      <c r="J94" s="5" t="s">
        <v>33</v>
      </c>
    </row>
    <row r="95" ht="21.75" customHeight="1">
      <c r="A95" s="5" t="s">
        <v>350</v>
      </c>
      <c r="B95" s="5" t="s">
        <v>351</v>
      </c>
      <c r="C95" s="5" t="s">
        <v>206</v>
      </c>
      <c r="D95" s="5" t="s">
        <v>352</v>
      </c>
      <c r="E95" s="5" t="s">
        <v>208</v>
      </c>
      <c r="F95" s="5" t="s">
        <v>24</v>
      </c>
      <c r="G95" s="5" t="s">
        <v>61</v>
      </c>
      <c r="H95" s="5" t="s">
        <v>61</v>
      </c>
      <c r="I95" s="5" t="s">
        <v>61</v>
      </c>
      <c r="J95" s="5" t="s">
        <v>209</v>
      </c>
    </row>
    <row r="96" ht="21.75" customHeight="1">
      <c r="A96" s="5" t="s">
        <v>353</v>
      </c>
      <c r="B96" s="5" t="s">
        <v>354</v>
      </c>
      <c r="C96" s="5" t="s">
        <v>206</v>
      </c>
      <c r="D96" s="5" t="s">
        <v>355</v>
      </c>
      <c r="E96" s="5" t="s">
        <v>356</v>
      </c>
      <c r="F96" s="5" t="s">
        <v>24</v>
      </c>
      <c r="G96" s="5" t="s">
        <v>61</v>
      </c>
      <c r="H96" s="5" t="s">
        <v>61</v>
      </c>
      <c r="I96" s="5" t="s">
        <v>61</v>
      </c>
      <c r="J96" s="5" t="s">
        <v>209</v>
      </c>
    </row>
    <row r="97" ht="21.75" customHeight="1">
      <c r="A97" s="5" t="s">
        <v>357</v>
      </c>
      <c r="B97" s="5" t="s">
        <v>17</v>
      </c>
      <c r="C97" s="5" t="s">
        <v>13</v>
      </c>
      <c r="D97" s="5" t="s">
        <v>358</v>
      </c>
      <c r="E97" s="5" t="s">
        <v>17</v>
      </c>
      <c r="F97" s="5" t="s">
        <v>16</v>
      </c>
      <c r="G97" s="5" t="s">
        <v>17</v>
      </c>
      <c r="H97" s="5" t="s">
        <v>17</v>
      </c>
      <c r="I97" s="5" t="s">
        <v>16</v>
      </c>
      <c r="J97" s="5" t="s">
        <v>18</v>
      </c>
    </row>
    <row r="98" ht="21.75" customHeight="1">
      <c r="A98" s="5" t="s">
        <v>359</v>
      </c>
      <c r="B98" s="5" t="s">
        <v>360</v>
      </c>
      <c r="C98" s="5" t="s">
        <v>109</v>
      </c>
      <c r="D98" s="5" t="s">
        <v>361</v>
      </c>
      <c r="E98" s="5" t="s">
        <v>111</v>
      </c>
      <c r="F98" s="5" t="s">
        <v>91</v>
      </c>
      <c r="G98" s="5" t="s">
        <v>91</v>
      </c>
      <c r="H98" s="5" t="s">
        <v>91</v>
      </c>
      <c r="I98" s="5" t="s">
        <v>91</v>
      </c>
      <c r="J98" s="5" t="s">
        <v>203</v>
      </c>
    </row>
    <row r="99" ht="21.75" customHeight="1">
      <c r="A99" s="5" t="s">
        <v>362</v>
      </c>
      <c r="B99" s="5" t="s">
        <v>363</v>
      </c>
      <c r="C99" s="5" t="s">
        <v>59</v>
      </c>
      <c r="D99" s="5" t="s">
        <v>364</v>
      </c>
      <c r="E99" s="5" t="s">
        <v>365</v>
      </c>
      <c r="F99" s="5" t="s">
        <v>24</v>
      </c>
      <c r="G99" s="5" t="s">
        <v>24</v>
      </c>
      <c r="H99" s="5" t="s">
        <v>24</v>
      </c>
      <c r="I99" s="5" t="s">
        <v>24</v>
      </c>
      <c r="J99" s="5" t="s">
        <v>62</v>
      </c>
    </row>
    <row r="100" ht="21.75" customHeight="1">
      <c r="A100" s="5" t="s">
        <v>366</v>
      </c>
      <c r="B100" s="5" t="s">
        <v>367</v>
      </c>
      <c r="C100" s="5" t="s">
        <v>36</v>
      </c>
      <c r="D100" s="5" t="s">
        <v>368</v>
      </c>
      <c r="E100" s="5" t="s">
        <v>175</v>
      </c>
      <c r="F100" s="5" t="s">
        <v>32</v>
      </c>
      <c r="G100" s="5" t="s">
        <v>32</v>
      </c>
      <c r="H100" s="5" t="s">
        <v>16</v>
      </c>
      <c r="I100" s="5" t="s">
        <v>32</v>
      </c>
      <c r="J100" s="5" t="s">
        <v>40</v>
      </c>
    </row>
    <row r="101" ht="21.75" customHeight="1">
      <c r="A101" s="5" t="s">
        <v>369</v>
      </c>
      <c r="B101" s="5" t="s">
        <v>31</v>
      </c>
      <c r="C101" s="5" t="s">
        <v>29</v>
      </c>
      <c r="D101" s="5" t="s">
        <v>370</v>
      </c>
      <c r="E101" s="5" t="s">
        <v>31</v>
      </c>
      <c r="F101" s="5" t="s">
        <v>32</v>
      </c>
      <c r="G101" s="5" t="s">
        <v>32</v>
      </c>
      <c r="H101" s="5" t="s">
        <v>31</v>
      </c>
      <c r="I101" s="5" t="s">
        <v>32</v>
      </c>
      <c r="J101" s="5" t="s">
        <v>33</v>
      </c>
    </row>
    <row r="102" ht="21.75" customHeight="1">
      <c r="A102" s="5" t="s">
        <v>371</v>
      </c>
      <c r="B102" s="5" t="s">
        <v>372</v>
      </c>
      <c r="C102" s="5" t="s">
        <v>43</v>
      </c>
      <c r="D102" s="5" t="s">
        <v>373</v>
      </c>
      <c r="E102" s="5" t="s">
        <v>374</v>
      </c>
      <c r="F102" s="5" t="s">
        <v>32</v>
      </c>
      <c r="G102" s="5" t="s">
        <v>32</v>
      </c>
      <c r="H102" s="5" t="s">
        <v>32</v>
      </c>
      <c r="I102" s="5" t="s">
        <v>32</v>
      </c>
      <c r="J102" s="5" t="s">
        <v>40</v>
      </c>
    </row>
    <row r="103" ht="21.75" customHeight="1">
      <c r="A103" s="5" t="s">
        <v>375</v>
      </c>
      <c r="B103" s="5" t="s">
        <v>376</v>
      </c>
      <c r="C103" s="5" t="s">
        <v>82</v>
      </c>
      <c r="D103" s="5" t="s">
        <v>377</v>
      </c>
      <c r="E103" s="5" t="s">
        <v>74</v>
      </c>
      <c r="F103" s="5" t="s">
        <v>24</v>
      </c>
      <c r="G103" s="5" t="s">
        <v>75</v>
      </c>
      <c r="H103" s="5" t="s">
        <v>75</v>
      </c>
      <c r="I103" s="5" t="s">
        <v>75</v>
      </c>
      <c r="J103" s="5" t="s">
        <v>26</v>
      </c>
    </row>
    <row r="104" ht="21.75" customHeight="1">
      <c r="A104" s="5" t="s">
        <v>378</v>
      </c>
      <c r="B104" s="5" t="s">
        <v>379</v>
      </c>
      <c r="C104" s="5" t="s">
        <v>82</v>
      </c>
      <c r="D104" s="5" t="s">
        <v>380</v>
      </c>
      <c r="E104" s="5" t="s">
        <v>74</v>
      </c>
      <c r="F104" s="5" t="s">
        <v>24</v>
      </c>
      <c r="G104" s="5" t="s">
        <v>75</v>
      </c>
      <c r="H104" s="5" t="s">
        <v>75</v>
      </c>
      <c r="I104" s="5" t="s">
        <v>75</v>
      </c>
      <c r="J104" s="5" t="s">
        <v>203</v>
      </c>
    </row>
    <row r="105" ht="21.75" customHeight="1">
      <c r="A105" s="5" t="s">
        <v>381</v>
      </c>
      <c r="B105" s="5" t="s">
        <v>90</v>
      </c>
      <c r="C105" s="5" t="s">
        <v>87</v>
      </c>
      <c r="D105" s="5" t="s">
        <v>382</v>
      </c>
      <c r="E105" s="5" t="s">
        <v>89</v>
      </c>
      <c r="F105" s="5" t="s">
        <v>16</v>
      </c>
      <c r="G105" s="5" t="s">
        <v>90</v>
      </c>
      <c r="H105" s="5" t="s">
        <v>90</v>
      </c>
      <c r="I105" s="5" t="s">
        <v>16</v>
      </c>
      <c r="J105" s="5" t="s">
        <v>92</v>
      </c>
    </row>
    <row r="106" ht="21.75" customHeight="1">
      <c r="A106" s="5" t="s">
        <v>383</v>
      </c>
      <c r="B106" s="5" t="s">
        <v>384</v>
      </c>
      <c r="C106" s="5" t="s">
        <v>87</v>
      </c>
      <c r="D106" s="5" t="s">
        <v>385</v>
      </c>
      <c r="E106" s="5" t="s">
        <v>343</v>
      </c>
      <c r="F106" s="5" t="s">
        <v>91</v>
      </c>
      <c r="G106" s="5" t="s">
        <v>90</v>
      </c>
      <c r="H106" s="5" t="s">
        <v>90</v>
      </c>
      <c r="I106" s="5" t="s">
        <v>91</v>
      </c>
      <c r="J106" s="5" t="s">
        <v>92</v>
      </c>
    </row>
    <row r="107" ht="21.75" customHeight="1">
      <c r="A107" s="5" t="s">
        <v>386</v>
      </c>
      <c r="B107" s="5" t="s">
        <v>387</v>
      </c>
      <c r="C107" s="5" t="s">
        <v>48</v>
      </c>
      <c r="D107" s="5" t="s">
        <v>388</v>
      </c>
      <c r="E107" s="5" t="s">
        <v>160</v>
      </c>
      <c r="F107" s="5" t="s">
        <v>16</v>
      </c>
      <c r="G107" s="5" t="s">
        <v>17</v>
      </c>
      <c r="H107" s="5" t="s">
        <v>17</v>
      </c>
      <c r="I107" s="5" t="s">
        <v>16</v>
      </c>
      <c r="J107" s="5" t="s">
        <v>50</v>
      </c>
    </row>
    <row r="108" ht="21.75" customHeight="1">
      <c r="A108" s="5" t="s">
        <v>389</v>
      </c>
      <c r="B108" s="5" t="s">
        <v>390</v>
      </c>
      <c r="C108" s="5" t="s">
        <v>129</v>
      </c>
      <c r="D108" s="5" t="s">
        <v>391</v>
      </c>
      <c r="E108" s="5" t="s">
        <v>162</v>
      </c>
      <c r="F108" s="5" t="s">
        <v>16</v>
      </c>
      <c r="G108" s="5" t="s">
        <v>16</v>
      </c>
      <c r="H108" s="5" t="s">
        <v>16</v>
      </c>
      <c r="I108" s="5" t="s">
        <v>16</v>
      </c>
      <c r="J108" s="5" t="s">
        <v>132</v>
      </c>
    </row>
    <row r="109" ht="21.75" customHeight="1">
      <c r="A109" s="5" t="s">
        <v>392</v>
      </c>
      <c r="B109" s="5" t="s">
        <v>393</v>
      </c>
      <c r="C109" s="5" t="s">
        <v>185</v>
      </c>
      <c r="D109" s="5" t="s">
        <v>394</v>
      </c>
      <c r="E109" s="5" t="s">
        <v>227</v>
      </c>
      <c r="F109" s="5" t="s">
        <v>16</v>
      </c>
      <c r="G109" s="5" t="s">
        <v>17</v>
      </c>
      <c r="H109" s="5" t="s">
        <v>188</v>
      </c>
      <c r="I109" s="5" t="s">
        <v>16</v>
      </c>
      <c r="J109" s="5" t="s">
        <v>189</v>
      </c>
    </row>
    <row r="110" ht="21.75" customHeight="1">
      <c r="A110" s="5" t="s">
        <v>395</v>
      </c>
      <c r="B110" s="5" t="s">
        <v>25</v>
      </c>
      <c r="C110" s="5" t="s">
        <v>72</v>
      </c>
      <c r="D110" s="5" t="s">
        <v>396</v>
      </c>
      <c r="E110" s="5" t="s">
        <v>25</v>
      </c>
      <c r="F110" s="5" t="s">
        <v>24</v>
      </c>
      <c r="G110" s="5" t="s">
        <v>25</v>
      </c>
      <c r="H110" s="5" t="s">
        <v>75</v>
      </c>
      <c r="I110" s="5" t="s">
        <v>25</v>
      </c>
      <c r="J110" s="5" t="s">
        <v>76</v>
      </c>
    </row>
    <row r="111" ht="21.75" customHeight="1">
      <c r="A111" s="5" t="s">
        <v>397</v>
      </c>
      <c r="B111" s="5" t="s">
        <v>343</v>
      </c>
      <c r="C111" s="5" t="s">
        <v>87</v>
      </c>
      <c r="D111" s="5" t="s">
        <v>398</v>
      </c>
      <c r="E111" s="5" t="s">
        <v>343</v>
      </c>
      <c r="F111" s="5" t="s">
        <v>91</v>
      </c>
      <c r="G111" s="5" t="s">
        <v>90</v>
      </c>
      <c r="H111" s="5" t="s">
        <v>90</v>
      </c>
      <c r="I111" s="5" t="s">
        <v>91</v>
      </c>
      <c r="J111" s="5" t="s">
        <v>92</v>
      </c>
    </row>
    <row r="112" ht="21.75" customHeight="1">
      <c r="A112" s="5" t="s">
        <v>399</v>
      </c>
      <c r="B112" s="5" t="s">
        <v>400</v>
      </c>
      <c r="C112" s="5" t="s">
        <v>87</v>
      </c>
      <c r="D112" s="5" t="s">
        <v>401</v>
      </c>
      <c r="E112" s="5" t="s">
        <v>402</v>
      </c>
      <c r="F112" s="5" t="s">
        <v>91</v>
      </c>
      <c r="G112" s="5" t="s">
        <v>90</v>
      </c>
      <c r="H112" s="5" t="s">
        <v>90</v>
      </c>
      <c r="I112" s="5" t="s">
        <v>91</v>
      </c>
      <c r="J112" s="5" t="s">
        <v>92</v>
      </c>
    </row>
    <row r="113" ht="21.75" customHeight="1">
      <c r="A113" s="5" t="s">
        <v>403</v>
      </c>
      <c r="B113" s="5" t="s">
        <v>404</v>
      </c>
      <c r="C113" s="5" t="s">
        <v>21</v>
      </c>
      <c r="D113" s="5" t="s">
        <v>405</v>
      </c>
      <c r="E113" s="5" t="s">
        <v>66</v>
      </c>
      <c r="F113" s="5" t="s">
        <v>24</v>
      </c>
      <c r="G113" s="5" t="s">
        <v>25</v>
      </c>
      <c r="H113" s="5" t="s">
        <v>23</v>
      </c>
      <c r="I113" s="5" t="s">
        <v>25</v>
      </c>
      <c r="J113" s="5" t="s">
        <v>406</v>
      </c>
    </row>
    <row r="114" ht="21.75" customHeight="1">
      <c r="A114" s="5" t="s">
        <v>407</v>
      </c>
      <c r="B114" s="5" t="s">
        <v>408</v>
      </c>
      <c r="C114" s="5" t="s">
        <v>82</v>
      </c>
      <c r="D114" s="5" t="s">
        <v>409</v>
      </c>
      <c r="E114" s="5" t="s">
        <v>74</v>
      </c>
      <c r="F114" s="5" t="s">
        <v>24</v>
      </c>
      <c r="G114" s="5" t="s">
        <v>75</v>
      </c>
      <c r="H114" s="5" t="s">
        <v>75</v>
      </c>
      <c r="I114" s="5" t="s">
        <v>75</v>
      </c>
      <c r="J114" s="5" t="s">
        <v>26</v>
      </c>
    </row>
    <row r="115" ht="21.75" customHeight="1">
      <c r="A115" s="5" t="s">
        <v>410</v>
      </c>
      <c r="B115" s="5" t="s">
        <v>411</v>
      </c>
      <c r="C115" s="5" t="s">
        <v>109</v>
      </c>
      <c r="D115" s="5" t="s">
        <v>412</v>
      </c>
      <c r="E115" s="5" t="s">
        <v>91</v>
      </c>
      <c r="F115" s="5" t="s">
        <v>91</v>
      </c>
      <c r="G115" s="5" t="s">
        <v>91</v>
      </c>
      <c r="H115" s="5" t="s">
        <v>91</v>
      </c>
      <c r="I115" s="5" t="s">
        <v>91</v>
      </c>
      <c r="J115" s="5" t="s">
        <v>112</v>
      </c>
    </row>
    <row r="116" ht="21.75" customHeight="1">
      <c r="A116" s="5" t="s">
        <v>413</v>
      </c>
      <c r="B116" s="5" t="s">
        <v>414</v>
      </c>
      <c r="C116" s="5" t="s">
        <v>59</v>
      </c>
      <c r="D116" s="5" t="s">
        <v>415</v>
      </c>
      <c r="E116" s="5" t="s">
        <v>416</v>
      </c>
      <c r="F116" s="5" t="s">
        <v>24</v>
      </c>
      <c r="G116" s="5" t="s">
        <v>24</v>
      </c>
      <c r="H116" s="5" t="s">
        <v>24</v>
      </c>
      <c r="I116" s="5" t="s">
        <v>24</v>
      </c>
      <c r="J116" s="5" t="s">
        <v>62</v>
      </c>
    </row>
    <row r="117" ht="21.75" customHeight="1">
      <c r="A117" s="5" t="s">
        <v>417</v>
      </c>
      <c r="B117" s="5" t="s">
        <v>418</v>
      </c>
      <c r="C117" s="5" t="s">
        <v>201</v>
      </c>
      <c r="D117" s="5" t="s">
        <v>419</v>
      </c>
      <c r="E117" s="5" t="s">
        <v>98</v>
      </c>
      <c r="F117" s="5" t="s">
        <v>16</v>
      </c>
      <c r="G117" s="5" t="s">
        <v>16</v>
      </c>
      <c r="H117" s="5" t="s">
        <v>16</v>
      </c>
      <c r="I117" s="5" t="s">
        <v>16</v>
      </c>
      <c r="J117" s="5" t="s">
        <v>203</v>
      </c>
    </row>
    <row r="118" ht="21.75" customHeight="1">
      <c r="A118" s="5" t="s">
        <v>420</v>
      </c>
      <c r="B118" s="5" t="s">
        <v>421</v>
      </c>
      <c r="C118" s="5" t="s">
        <v>48</v>
      </c>
      <c r="D118" s="5" t="s">
        <v>422</v>
      </c>
      <c r="E118" s="5" t="s">
        <v>47</v>
      </c>
      <c r="F118" s="5" t="s">
        <v>16</v>
      </c>
      <c r="G118" s="5" t="s">
        <v>17</v>
      </c>
      <c r="H118" s="5" t="s">
        <v>188</v>
      </c>
      <c r="I118" s="5" t="s">
        <v>16</v>
      </c>
      <c r="J118" s="5" t="s">
        <v>50</v>
      </c>
    </row>
    <row r="119" ht="21.75" customHeight="1">
      <c r="A119" s="5" t="s">
        <v>423</v>
      </c>
      <c r="B119" s="5" t="s">
        <v>424</v>
      </c>
      <c r="C119" s="5" t="s">
        <v>59</v>
      </c>
      <c r="D119" s="5" t="s">
        <v>425</v>
      </c>
      <c r="E119" s="5" t="s">
        <v>58</v>
      </c>
      <c r="F119" s="5" t="s">
        <v>24</v>
      </c>
      <c r="G119" s="5" t="s">
        <v>39</v>
      </c>
      <c r="H119" s="5" t="s">
        <v>39</v>
      </c>
      <c r="I119" s="5" t="s">
        <v>24</v>
      </c>
      <c r="J119" s="5" t="s">
        <v>62</v>
      </c>
    </row>
    <row r="120" ht="21.75" customHeight="1">
      <c r="A120" s="5" t="s">
        <v>426</v>
      </c>
      <c r="B120" s="5" t="s">
        <v>427</v>
      </c>
      <c r="C120" s="5" t="s">
        <v>206</v>
      </c>
      <c r="D120" s="5" t="s">
        <v>428</v>
      </c>
      <c r="E120" s="5" t="s">
        <v>356</v>
      </c>
      <c r="F120" s="5" t="s">
        <v>24</v>
      </c>
      <c r="G120" s="5" t="s">
        <v>61</v>
      </c>
      <c r="H120" s="5" t="s">
        <v>61</v>
      </c>
      <c r="I120" s="5" t="s">
        <v>61</v>
      </c>
      <c r="J120" s="5" t="s">
        <v>209</v>
      </c>
    </row>
    <row r="121" ht="21.75" customHeight="1">
      <c r="A121" s="5" t="s">
        <v>429</v>
      </c>
      <c r="B121" s="5" t="s">
        <v>430</v>
      </c>
      <c r="C121" s="5" t="s">
        <v>109</v>
      </c>
      <c r="D121" s="5" t="s">
        <v>431</v>
      </c>
      <c r="E121" s="5" t="s">
        <v>146</v>
      </c>
      <c r="F121" s="5" t="s">
        <v>91</v>
      </c>
      <c r="G121" s="5" t="s">
        <v>91</v>
      </c>
      <c r="H121" s="5" t="s">
        <v>91</v>
      </c>
      <c r="I121" s="5" t="s">
        <v>91</v>
      </c>
      <c r="J121" s="5" t="s">
        <v>112</v>
      </c>
    </row>
    <row r="122" ht="21.75" customHeight="1">
      <c r="A122" s="5" t="s">
        <v>432</v>
      </c>
      <c r="B122" s="5" t="s">
        <v>23</v>
      </c>
      <c r="C122" s="5" t="s">
        <v>21</v>
      </c>
      <c r="D122" s="5" t="s">
        <v>433</v>
      </c>
      <c r="E122" s="5" t="s">
        <v>23</v>
      </c>
      <c r="F122" s="5" t="s">
        <v>24</v>
      </c>
      <c r="G122" s="5" t="s">
        <v>75</v>
      </c>
      <c r="H122" s="5" t="s">
        <v>23</v>
      </c>
      <c r="I122" s="5" t="s">
        <v>75</v>
      </c>
      <c r="J122" s="5" t="s">
        <v>26</v>
      </c>
    </row>
    <row r="123" ht="21.75" customHeight="1">
      <c r="A123" s="5" t="s">
        <v>434</v>
      </c>
      <c r="B123" s="5" t="s">
        <v>435</v>
      </c>
      <c r="C123" s="5" t="s">
        <v>109</v>
      </c>
      <c r="D123" s="5" t="s">
        <v>436</v>
      </c>
      <c r="E123" s="5" t="s">
        <v>91</v>
      </c>
      <c r="F123" s="5" t="s">
        <v>91</v>
      </c>
      <c r="G123" s="5" t="s">
        <v>91</v>
      </c>
      <c r="H123" s="5" t="s">
        <v>91</v>
      </c>
      <c r="I123" s="5" t="s">
        <v>91</v>
      </c>
      <c r="J123" s="5" t="s">
        <v>112</v>
      </c>
    </row>
    <row r="124" ht="21.75" customHeight="1">
      <c r="A124" s="5" t="s">
        <v>437</v>
      </c>
      <c r="B124" s="5" t="s">
        <v>438</v>
      </c>
      <c r="C124" s="5" t="s">
        <v>201</v>
      </c>
      <c r="D124" s="5" t="s">
        <v>439</v>
      </c>
      <c r="E124" s="5" t="s">
        <v>440</v>
      </c>
      <c r="F124" s="5" t="s">
        <v>16</v>
      </c>
      <c r="G124" s="5" t="s">
        <v>16</v>
      </c>
      <c r="H124" s="5" t="s">
        <v>16</v>
      </c>
      <c r="I124" s="5" t="s">
        <v>16</v>
      </c>
      <c r="J124" s="5" t="s">
        <v>203</v>
      </c>
    </row>
    <row r="125" ht="21.75" customHeight="1">
      <c r="A125" s="5" t="s">
        <v>441</v>
      </c>
      <c r="B125" s="5" t="s">
        <v>223</v>
      </c>
      <c r="C125" s="5" t="s">
        <v>48</v>
      </c>
      <c r="D125" s="5" t="s">
        <v>442</v>
      </c>
      <c r="E125" s="5" t="s">
        <v>223</v>
      </c>
      <c r="F125" s="5" t="s">
        <v>16</v>
      </c>
      <c r="G125" s="5" t="s">
        <v>17</v>
      </c>
      <c r="H125" s="5" t="s">
        <v>188</v>
      </c>
      <c r="I125" s="5" t="s">
        <v>16</v>
      </c>
      <c r="J125" s="5" t="s">
        <v>50</v>
      </c>
    </row>
    <row r="126" ht="21.75" customHeight="1">
      <c r="A126" s="5" t="s">
        <v>443</v>
      </c>
      <c r="B126" s="5" t="s">
        <v>444</v>
      </c>
      <c r="C126" s="5" t="s">
        <v>59</v>
      </c>
      <c r="D126" s="5" t="s">
        <v>445</v>
      </c>
      <c r="E126" s="5" t="s">
        <v>365</v>
      </c>
      <c r="F126" s="5" t="s">
        <v>24</v>
      </c>
      <c r="G126" s="5" t="s">
        <v>24</v>
      </c>
      <c r="H126" s="5" t="s">
        <v>24</v>
      </c>
      <c r="I126" s="5" t="s">
        <v>24</v>
      </c>
      <c r="J126" s="5" t="s">
        <v>62</v>
      </c>
    </row>
    <row r="127" ht="21.75" customHeight="1">
      <c r="A127" s="5" t="s">
        <v>446</v>
      </c>
      <c r="B127" s="5" t="s">
        <v>447</v>
      </c>
      <c r="C127" s="5" t="s">
        <v>53</v>
      </c>
      <c r="D127" s="5" t="s">
        <v>448</v>
      </c>
      <c r="E127" s="5" t="s">
        <v>68</v>
      </c>
      <c r="F127" s="5" t="s">
        <v>24</v>
      </c>
      <c r="G127" s="5" t="s">
        <v>24</v>
      </c>
      <c r="H127" s="5" t="s">
        <v>24</v>
      </c>
      <c r="I127" s="5" t="s">
        <v>24</v>
      </c>
      <c r="J127" s="5" t="s">
        <v>56</v>
      </c>
    </row>
    <row r="128" ht="21.75" customHeight="1">
      <c r="A128" s="5" t="s">
        <v>449</v>
      </c>
      <c r="B128" s="5" t="s">
        <v>45</v>
      </c>
      <c r="C128" s="5" t="s">
        <v>43</v>
      </c>
      <c r="D128" s="5" t="s">
        <v>450</v>
      </c>
      <c r="E128" s="5" t="s">
        <v>45</v>
      </c>
      <c r="F128" s="5" t="s">
        <v>16</v>
      </c>
      <c r="G128" s="5" t="s">
        <v>16</v>
      </c>
      <c r="H128" s="5" t="s">
        <v>16</v>
      </c>
      <c r="I128" s="5" t="s">
        <v>16</v>
      </c>
      <c r="J128" s="5" t="s">
        <v>40</v>
      </c>
    </row>
    <row r="129" ht="21.75" customHeight="1">
      <c r="A129" s="5" t="s">
        <v>451</v>
      </c>
      <c r="B129" s="5" t="s">
        <v>374</v>
      </c>
      <c r="C129" s="5" t="s">
        <v>168</v>
      </c>
      <c r="D129" s="5" t="s">
        <v>452</v>
      </c>
      <c r="E129" s="5" t="s">
        <v>374</v>
      </c>
      <c r="F129" s="5" t="s">
        <v>32</v>
      </c>
      <c r="G129" s="5" t="s">
        <v>32</v>
      </c>
      <c r="H129" s="5" t="s">
        <v>32</v>
      </c>
      <c r="I129" s="5" t="s">
        <v>32</v>
      </c>
      <c r="J129" s="5" t="s">
        <v>33</v>
      </c>
    </row>
    <row r="130" ht="21.75" customHeight="1">
      <c r="A130" s="5" t="s">
        <v>453</v>
      </c>
      <c r="B130" s="5" t="s">
        <v>454</v>
      </c>
      <c r="C130" s="5" t="s">
        <v>43</v>
      </c>
      <c r="D130" s="5" t="s">
        <v>455</v>
      </c>
      <c r="E130" s="5" t="s">
        <v>32</v>
      </c>
      <c r="F130" s="5" t="s">
        <v>32</v>
      </c>
      <c r="G130" s="5" t="s">
        <v>32</v>
      </c>
      <c r="H130" s="5" t="s">
        <v>32</v>
      </c>
      <c r="I130" s="5" t="s">
        <v>32</v>
      </c>
      <c r="J130" s="5" t="s">
        <v>40</v>
      </c>
    </row>
    <row r="131" ht="21.75" customHeight="1">
      <c r="A131" s="5" t="s">
        <v>456</v>
      </c>
      <c r="B131" s="5" t="s">
        <v>457</v>
      </c>
      <c r="C131" s="5" t="s">
        <v>129</v>
      </c>
      <c r="D131" s="5" t="s">
        <v>458</v>
      </c>
      <c r="E131" s="5" t="s">
        <v>162</v>
      </c>
      <c r="F131" s="5" t="s">
        <v>16</v>
      </c>
      <c r="G131" s="5" t="s">
        <v>16</v>
      </c>
      <c r="H131" s="5" t="s">
        <v>16</v>
      </c>
      <c r="I131" s="5" t="s">
        <v>16</v>
      </c>
      <c r="J131" s="5" t="s">
        <v>132</v>
      </c>
    </row>
    <row r="132" ht="21.75" customHeight="1">
      <c r="A132" s="5" t="s">
        <v>459</v>
      </c>
      <c r="B132" s="5" t="s">
        <v>91</v>
      </c>
      <c r="C132" s="5" t="s">
        <v>168</v>
      </c>
      <c r="D132" s="5" t="s">
        <v>460</v>
      </c>
      <c r="E132" s="5" t="s">
        <v>91</v>
      </c>
      <c r="F132" s="5" t="s">
        <v>91</v>
      </c>
      <c r="G132" s="5" t="s">
        <v>91</v>
      </c>
      <c r="H132" s="5" t="s">
        <v>91</v>
      </c>
      <c r="I132" s="5" t="s">
        <v>91</v>
      </c>
      <c r="J132" s="5" t="s">
        <v>112</v>
      </c>
    </row>
    <row r="133" ht="21.75" customHeight="1">
      <c r="A133" s="5" t="s">
        <v>461</v>
      </c>
      <c r="B133" s="5" t="s">
        <v>462</v>
      </c>
      <c r="C133" s="5" t="s">
        <v>72</v>
      </c>
      <c r="D133" s="5" t="s">
        <v>463</v>
      </c>
      <c r="E133" s="5" t="s">
        <v>252</v>
      </c>
      <c r="F133" s="5" t="s">
        <v>91</v>
      </c>
      <c r="G133" s="5" t="s">
        <v>91</v>
      </c>
      <c r="H133" s="5" t="s">
        <v>91</v>
      </c>
      <c r="I133" s="5" t="s">
        <v>91</v>
      </c>
      <c r="J133" s="5" t="s">
        <v>76</v>
      </c>
    </row>
    <row r="134" ht="21.75" customHeight="1">
      <c r="A134" s="5" t="s">
        <v>464</v>
      </c>
      <c r="B134" s="5" t="s">
        <v>153</v>
      </c>
      <c r="C134" s="5" t="s">
        <v>59</v>
      </c>
      <c r="D134" s="5" t="s">
        <v>465</v>
      </c>
      <c r="E134" s="5" t="s">
        <v>153</v>
      </c>
      <c r="F134" s="5" t="s">
        <v>24</v>
      </c>
      <c r="G134" s="5" t="s">
        <v>39</v>
      </c>
      <c r="H134" s="5" t="s">
        <v>39</v>
      </c>
      <c r="I134" s="5" t="s">
        <v>24</v>
      </c>
      <c r="J134" s="5" t="s">
        <v>62</v>
      </c>
    </row>
    <row r="135" ht="21.75" customHeight="1">
      <c r="A135" s="5" t="s">
        <v>466</v>
      </c>
      <c r="B135" s="5" t="s">
        <v>467</v>
      </c>
      <c r="C135" s="5" t="s">
        <v>72</v>
      </c>
      <c r="D135" s="5" t="s">
        <v>468</v>
      </c>
      <c r="E135" s="5" t="s">
        <v>143</v>
      </c>
      <c r="F135" s="5" t="s">
        <v>24</v>
      </c>
      <c r="G135" s="5" t="s">
        <v>25</v>
      </c>
      <c r="H135" s="5" t="s">
        <v>75</v>
      </c>
      <c r="I135" s="5" t="s">
        <v>25</v>
      </c>
      <c r="J135" s="5" t="s">
        <v>76</v>
      </c>
    </row>
    <row r="136" ht="21.75" customHeight="1">
      <c r="A136" s="5" t="s">
        <v>469</v>
      </c>
      <c r="B136" s="5" t="s">
        <v>227</v>
      </c>
      <c r="C136" s="5" t="s">
        <v>185</v>
      </c>
      <c r="D136" s="5" t="s">
        <v>470</v>
      </c>
      <c r="E136" s="5" t="s">
        <v>227</v>
      </c>
      <c r="F136" s="5" t="s">
        <v>16</v>
      </c>
      <c r="G136" s="5" t="s">
        <v>17</v>
      </c>
      <c r="H136" s="5" t="s">
        <v>188</v>
      </c>
      <c r="I136" s="5" t="s">
        <v>16</v>
      </c>
      <c r="J136" s="5" t="s">
        <v>189</v>
      </c>
    </row>
    <row r="137" ht="21.75" customHeight="1">
      <c r="A137" s="5" t="s">
        <v>471</v>
      </c>
      <c r="B137" s="5" t="s">
        <v>472</v>
      </c>
      <c r="C137" s="5" t="s">
        <v>48</v>
      </c>
      <c r="D137" s="5" t="s">
        <v>473</v>
      </c>
      <c r="E137" s="5" t="s">
        <v>160</v>
      </c>
      <c r="F137" s="5" t="s">
        <v>16</v>
      </c>
      <c r="G137" s="5" t="s">
        <v>16</v>
      </c>
      <c r="H137" s="5" t="s">
        <v>16</v>
      </c>
      <c r="I137" s="5" t="s">
        <v>16</v>
      </c>
      <c r="J137" s="5" t="s">
        <v>50</v>
      </c>
    </row>
    <row r="138" ht="21.75" customHeight="1">
      <c r="A138" s="5" t="s">
        <v>474</v>
      </c>
      <c r="B138" s="5" t="s">
        <v>475</v>
      </c>
      <c r="C138" s="5" t="s">
        <v>48</v>
      </c>
      <c r="D138" s="5" t="s">
        <v>476</v>
      </c>
      <c r="E138" s="5" t="s">
        <v>47</v>
      </c>
      <c r="F138" s="5" t="s">
        <v>16</v>
      </c>
      <c r="G138" s="5" t="s">
        <v>17</v>
      </c>
      <c r="H138" s="5" t="s">
        <v>188</v>
      </c>
      <c r="I138" s="5" t="s">
        <v>16</v>
      </c>
      <c r="J138" s="5" t="s">
        <v>50</v>
      </c>
    </row>
    <row r="139" ht="21.75" customHeight="1">
      <c r="A139" s="5" t="s">
        <v>477</v>
      </c>
      <c r="B139" s="5" t="s">
        <v>478</v>
      </c>
      <c r="C139" s="5" t="s">
        <v>87</v>
      </c>
      <c r="D139" s="5" t="s">
        <v>479</v>
      </c>
      <c r="E139" s="5" t="s">
        <v>89</v>
      </c>
      <c r="F139" s="5" t="s">
        <v>16</v>
      </c>
      <c r="G139" s="5" t="s">
        <v>16</v>
      </c>
      <c r="H139" s="5" t="s">
        <v>90</v>
      </c>
      <c r="I139" s="5" t="s">
        <v>16</v>
      </c>
      <c r="J139" s="5" t="s">
        <v>92</v>
      </c>
    </row>
    <row r="140" ht="21.75" customHeight="1">
      <c r="A140" s="5" t="s">
        <v>480</v>
      </c>
      <c r="B140" s="5" t="s">
        <v>481</v>
      </c>
      <c r="C140" s="5" t="s">
        <v>201</v>
      </c>
      <c r="D140" s="5" t="s">
        <v>482</v>
      </c>
      <c r="E140" s="5" t="s">
        <v>175</v>
      </c>
      <c r="F140" s="5" t="s">
        <v>32</v>
      </c>
      <c r="G140" s="5" t="s">
        <v>32</v>
      </c>
      <c r="H140" s="5" t="s">
        <v>16</v>
      </c>
      <c r="I140" s="5" t="s">
        <v>24</v>
      </c>
      <c r="J140" s="5" t="s">
        <v>203</v>
      </c>
    </row>
    <row r="141" ht="21.75" customHeight="1">
      <c r="A141" s="5" t="s">
        <v>483</v>
      </c>
      <c r="B141" s="5" t="s">
        <v>484</v>
      </c>
      <c r="C141" s="5" t="s">
        <v>109</v>
      </c>
      <c r="D141" s="5" t="s">
        <v>485</v>
      </c>
      <c r="E141" s="5" t="s">
        <v>91</v>
      </c>
      <c r="F141" s="5" t="s">
        <v>91</v>
      </c>
      <c r="G141" s="5" t="s">
        <v>91</v>
      </c>
      <c r="H141" s="5" t="s">
        <v>91</v>
      </c>
      <c r="I141" s="5" t="s">
        <v>91</v>
      </c>
      <c r="J141" s="5" t="s">
        <v>112</v>
      </c>
    </row>
    <row r="142" ht="21.75" customHeight="1">
      <c r="A142" s="5" t="s">
        <v>486</v>
      </c>
      <c r="B142" s="5" t="s">
        <v>487</v>
      </c>
      <c r="C142" s="5" t="s">
        <v>72</v>
      </c>
      <c r="D142" s="5" t="s">
        <v>488</v>
      </c>
      <c r="E142" s="5" t="s">
        <v>146</v>
      </c>
      <c r="F142" s="5" t="s">
        <v>91</v>
      </c>
      <c r="G142" s="5" t="s">
        <v>91</v>
      </c>
      <c r="H142" s="5" t="s">
        <v>91</v>
      </c>
      <c r="I142" s="5" t="s">
        <v>91</v>
      </c>
      <c r="J142" s="5" t="s">
        <v>76</v>
      </c>
    </row>
    <row r="143" ht="21.75" customHeight="1">
      <c r="A143" s="5" t="s">
        <v>489</v>
      </c>
      <c r="B143" s="5" t="s">
        <v>490</v>
      </c>
      <c r="C143" s="5" t="s">
        <v>29</v>
      </c>
      <c r="D143" s="5" t="s">
        <v>491</v>
      </c>
      <c r="E143" s="5" t="s">
        <v>31</v>
      </c>
      <c r="F143" s="5" t="s">
        <v>32</v>
      </c>
      <c r="G143" s="5" t="s">
        <v>32</v>
      </c>
      <c r="H143" s="5" t="s">
        <v>31</v>
      </c>
      <c r="I143" s="5" t="s">
        <v>32</v>
      </c>
      <c r="J143" s="5" t="s">
        <v>33</v>
      </c>
    </row>
    <row r="144" ht="21.75" customHeight="1">
      <c r="A144" s="5" t="s">
        <v>492</v>
      </c>
      <c r="B144" s="5" t="s">
        <v>493</v>
      </c>
      <c r="C144" s="5" t="s">
        <v>36</v>
      </c>
      <c r="D144" s="5" t="s">
        <v>494</v>
      </c>
      <c r="E144" s="5" t="s">
        <v>175</v>
      </c>
      <c r="F144" s="5" t="s">
        <v>32</v>
      </c>
      <c r="G144" s="5" t="s">
        <v>32</v>
      </c>
      <c r="H144" s="5" t="s">
        <v>32</v>
      </c>
      <c r="I144" s="5" t="s">
        <v>32</v>
      </c>
      <c r="J144" s="5" t="s">
        <v>40</v>
      </c>
    </row>
    <row r="145" ht="21.75" customHeight="1">
      <c r="A145" s="5" t="s">
        <v>495</v>
      </c>
      <c r="B145" s="5" t="s">
        <v>496</v>
      </c>
      <c r="C145" s="5" t="s">
        <v>48</v>
      </c>
      <c r="D145" s="5" t="s">
        <v>497</v>
      </c>
      <c r="E145" s="5" t="s">
        <v>223</v>
      </c>
      <c r="F145" s="5" t="s">
        <v>16</v>
      </c>
      <c r="G145" s="5" t="s">
        <v>17</v>
      </c>
      <c r="H145" s="5" t="s">
        <v>188</v>
      </c>
      <c r="I145" s="5" t="s">
        <v>16</v>
      </c>
      <c r="J145" s="5" t="s">
        <v>50</v>
      </c>
    </row>
    <row r="146" ht="21.75" customHeight="1">
      <c r="A146" s="5" t="s">
        <v>498</v>
      </c>
      <c r="B146" s="5" t="s">
        <v>499</v>
      </c>
      <c r="C146" s="5" t="s">
        <v>59</v>
      </c>
      <c r="D146" s="5" t="s">
        <v>500</v>
      </c>
      <c r="E146" s="5" t="s">
        <v>58</v>
      </c>
      <c r="F146" s="5" t="s">
        <v>24</v>
      </c>
      <c r="G146" s="5" t="s">
        <v>39</v>
      </c>
      <c r="H146" s="5" t="s">
        <v>39</v>
      </c>
      <c r="I146" s="5" t="s">
        <v>24</v>
      </c>
      <c r="J146" s="5" t="s">
        <v>62</v>
      </c>
    </row>
    <row r="147" ht="21.75" customHeight="1">
      <c r="A147" s="5" t="s">
        <v>501</v>
      </c>
      <c r="B147" s="5" t="s">
        <v>187</v>
      </c>
      <c r="C147" s="5" t="s">
        <v>185</v>
      </c>
      <c r="D147" s="5" t="s">
        <v>502</v>
      </c>
      <c r="E147" s="5" t="s">
        <v>187</v>
      </c>
      <c r="F147" s="5" t="s">
        <v>16</v>
      </c>
      <c r="G147" s="5" t="s">
        <v>17</v>
      </c>
      <c r="H147" s="5" t="s">
        <v>188</v>
      </c>
      <c r="I147" s="5" t="s">
        <v>16</v>
      </c>
      <c r="J147" s="5" t="s">
        <v>189</v>
      </c>
    </row>
    <row r="148" ht="21.75" customHeight="1">
      <c r="A148" s="5" t="s">
        <v>503</v>
      </c>
      <c r="B148" s="5" t="s">
        <v>504</v>
      </c>
      <c r="C148" s="5" t="s">
        <v>129</v>
      </c>
      <c r="D148" s="5" t="s">
        <v>505</v>
      </c>
      <c r="E148" s="5" t="s">
        <v>131</v>
      </c>
      <c r="F148" s="5" t="s">
        <v>16</v>
      </c>
      <c r="G148" s="5" t="s">
        <v>16</v>
      </c>
      <c r="H148" s="5" t="s">
        <v>16</v>
      </c>
      <c r="I148" s="5" t="s">
        <v>16</v>
      </c>
      <c r="J148" s="5" t="s">
        <v>132</v>
      </c>
    </row>
    <row r="149" ht="21.75" customHeight="1">
      <c r="A149" s="5" t="s">
        <v>506</v>
      </c>
      <c r="B149" s="5" t="s">
        <v>16</v>
      </c>
      <c r="C149" s="5" t="s">
        <v>168</v>
      </c>
      <c r="D149" s="5" t="s">
        <v>507</v>
      </c>
      <c r="E149" s="5" t="s">
        <v>313</v>
      </c>
      <c r="F149" s="5" t="s">
        <v>16</v>
      </c>
      <c r="G149" s="5" t="s">
        <v>16</v>
      </c>
      <c r="H149" s="5" t="s">
        <v>16</v>
      </c>
      <c r="I149" s="5" t="s">
        <v>16</v>
      </c>
      <c r="J149" s="5" t="s">
        <v>171</v>
      </c>
    </row>
    <row r="150" ht="21.75" customHeight="1">
      <c r="A150" s="5" t="s">
        <v>508</v>
      </c>
      <c r="B150" s="5" t="s">
        <v>509</v>
      </c>
      <c r="C150" s="5" t="s">
        <v>53</v>
      </c>
      <c r="D150" s="5" t="s">
        <v>510</v>
      </c>
      <c r="E150" s="5" t="s">
        <v>74</v>
      </c>
      <c r="F150" s="5" t="s">
        <v>24</v>
      </c>
      <c r="G150" s="5" t="s">
        <v>75</v>
      </c>
      <c r="H150" s="5" t="s">
        <v>75</v>
      </c>
      <c r="I150" s="5" t="s">
        <v>75</v>
      </c>
      <c r="J150" s="5" t="s">
        <v>56</v>
      </c>
    </row>
    <row r="151" ht="21.75" customHeight="1">
      <c r="A151" s="5" t="s">
        <v>511</v>
      </c>
      <c r="B151" s="5" t="s">
        <v>512</v>
      </c>
      <c r="C151" s="5" t="s">
        <v>36</v>
      </c>
      <c r="D151" s="5" t="s">
        <v>513</v>
      </c>
      <c r="E151" s="5" t="s">
        <v>175</v>
      </c>
      <c r="F151" s="5" t="s">
        <v>32</v>
      </c>
      <c r="G151" s="5" t="s">
        <v>32</v>
      </c>
      <c r="H151" s="5" t="s">
        <v>32</v>
      </c>
      <c r="I151" s="5" t="s">
        <v>32</v>
      </c>
      <c r="J151" s="5" t="s">
        <v>40</v>
      </c>
    </row>
    <row r="152" ht="21.75" customHeight="1">
      <c r="A152" s="5" t="s">
        <v>514</v>
      </c>
      <c r="B152" s="5" t="s">
        <v>515</v>
      </c>
      <c r="C152" s="5" t="s">
        <v>36</v>
      </c>
      <c r="D152" s="5" t="s">
        <v>516</v>
      </c>
      <c r="E152" s="5" t="s">
        <v>175</v>
      </c>
      <c r="F152" s="5" t="s">
        <v>32</v>
      </c>
      <c r="G152" s="5" t="s">
        <v>32</v>
      </c>
      <c r="H152" s="5" t="s">
        <v>32</v>
      </c>
      <c r="I152" s="5" t="s">
        <v>24</v>
      </c>
      <c r="J152" s="5" t="s">
        <v>40</v>
      </c>
    </row>
    <row r="153" ht="21.75" customHeight="1">
      <c r="A153" s="5" t="s">
        <v>517</v>
      </c>
      <c r="B153" s="5" t="s">
        <v>518</v>
      </c>
      <c r="C153" s="5" t="s">
        <v>43</v>
      </c>
      <c r="D153" s="5" t="s">
        <v>519</v>
      </c>
      <c r="E153" s="5" t="s">
        <v>45</v>
      </c>
      <c r="F153" s="5" t="s">
        <v>16</v>
      </c>
      <c r="G153" s="5" t="s">
        <v>32</v>
      </c>
      <c r="H153" s="5" t="s">
        <v>32</v>
      </c>
      <c r="I153" s="5" t="s">
        <v>32</v>
      </c>
      <c r="J153" s="5" t="s">
        <v>40</v>
      </c>
    </row>
    <row r="154" ht="21.75" customHeight="1">
      <c r="A154" s="5" t="s">
        <v>520</v>
      </c>
      <c r="B154" s="5" t="s">
        <v>521</v>
      </c>
      <c r="C154" s="5" t="s">
        <v>82</v>
      </c>
      <c r="D154" s="5" t="s">
        <v>522</v>
      </c>
      <c r="E154" s="5" t="s">
        <v>74</v>
      </c>
      <c r="F154" s="5" t="s">
        <v>24</v>
      </c>
      <c r="G154" s="5" t="s">
        <v>75</v>
      </c>
      <c r="H154" s="5" t="s">
        <v>23</v>
      </c>
      <c r="I154" s="5" t="s">
        <v>75</v>
      </c>
      <c r="J154" s="5" t="s">
        <v>26</v>
      </c>
    </row>
    <row r="155" ht="21.75" customHeight="1">
      <c r="A155" s="5" t="s">
        <v>523</v>
      </c>
      <c r="B155" s="5" t="s">
        <v>524</v>
      </c>
      <c r="C155" s="5" t="s">
        <v>129</v>
      </c>
      <c r="D155" s="5" t="s">
        <v>525</v>
      </c>
      <c r="E155" s="5" t="s">
        <v>162</v>
      </c>
      <c r="F155" s="5" t="s">
        <v>16</v>
      </c>
      <c r="G155" s="5" t="s">
        <v>16</v>
      </c>
      <c r="H155" s="5" t="s">
        <v>16</v>
      </c>
      <c r="I155" s="5" t="s">
        <v>16</v>
      </c>
      <c r="J155" s="5" t="s">
        <v>132</v>
      </c>
    </row>
    <row r="156" ht="21.75" customHeight="1">
      <c r="A156" s="5" t="s">
        <v>526</v>
      </c>
      <c r="B156" s="5" t="s">
        <v>527</v>
      </c>
      <c r="C156" s="5" t="s">
        <v>36</v>
      </c>
      <c r="D156" s="5" t="s">
        <v>528</v>
      </c>
      <c r="E156" s="5" t="s">
        <v>98</v>
      </c>
      <c r="F156" s="5" t="s">
        <v>16</v>
      </c>
      <c r="G156" s="5" t="s">
        <v>32</v>
      </c>
      <c r="H156" s="5" t="s">
        <v>16</v>
      </c>
      <c r="I156" s="5" t="s">
        <v>32</v>
      </c>
      <c r="J156" s="5" t="s">
        <v>40</v>
      </c>
    </row>
    <row r="157" ht="21.75" customHeight="1">
      <c r="A157" s="5" t="s">
        <v>529</v>
      </c>
      <c r="B157" s="5" t="s">
        <v>530</v>
      </c>
      <c r="C157" s="5" t="s">
        <v>29</v>
      </c>
      <c r="D157" s="5" t="s">
        <v>531</v>
      </c>
      <c r="E157" s="5" t="s">
        <v>179</v>
      </c>
      <c r="F157" s="5" t="s">
        <v>32</v>
      </c>
      <c r="G157" s="5" t="s">
        <v>32</v>
      </c>
      <c r="H157" s="5" t="s">
        <v>31</v>
      </c>
      <c r="I157" s="5" t="s">
        <v>32</v>
      </c>
      <c r="J157" s="5" t="s">
        <v>33</v>
      </c>
    </row>
    <row r="158" ht="21.75" customHeight="1">
      <c r="A158" s="5" t="s">
        <v>532</v>
      </c>
      <c r="B158" s="5" t="s">
        <v>533</v>
      </c>
      <c r="C158" s="5" t="s">
        <v>87</v>
      </c>
      <c r="D158" s="5" t="s">
        <v>534</v>
      </c>
      <c r="E158" s="5" t="s">
        <v>343</v>
      </c>
      <c r="F158" s="5" t="s">
        <v>91</v>
      </c>
      <c r="G158" s="5" t="s">
        <v>90</v>
      </c>
      <c r="H158" s="5" t="s">
        <v>90</v>
      </c>
      <c r="I158" s="5" t="s">
        <v>91</v>
      </c>
      <c r="J158" s="5" t="s">
        <v>92</v>
      </c>
    </row>
    <row r="159" ht="21.75" customHeight="1">
      <c r="A159" s="5" t="s">
        <v>535</v>
      </c>
      <c r="B159" s="5" t="s">
        <v>536</v>
      </c>
      <c r="C159" s="5" t="s">
        <v>82</v>
      </c>
      <c r="D159" s="5" t="s">
        <v>537</v>
      </c>
      <c r="E159" s="5" t="s">
        <v>74</v>
      </c>
      <c r="F159" s="5" t="s">
        <v>24</v>
      </c>
      <c r="G159" s="5" t="s">
        <v>75</v>
      </c>
      <c r="H159" s="5" t="s">
        <v>75</v>
      </c>
      <c r="I159" s="5" t="s">
        <v>75</v>
      </c>
      <c r="J159" s="5" t="s">
        <v>26</v>
      </c>
    </row>
    <row r="160" ht="21.75" customHeight="1">
      <c r="A160" s="5" t="s">
        <v>538</v>
      </c>
      <c r="B160" s="5" t="s">
        <v>539</v>
      </c>
      <c r="C160" s="5" t="s">
        <v>72</v>
      </c>
      <c r="D160" s="5" t="s">
        <v>540</v>
      </c>
      <c r="E160" s="5" t="s">
        <v>252</v>
      </c>
      <c r="F160" s="5" t="s">
        <v>91</v>
      </c>
      <c r="G160" s="5" t="s">
        <v>91</v>
      </c>
      <c r="H160" s="5" t="s">
        <v>75</v>
      </c>
      <c r="I160" s="5" t="s">
        <v>91</v>
      </c>
      <c r="J160" s="5" t="s">
        <v>76</v>
      </c>
    </row>
    <row r="161" ht="21.75" customHeight="1">
      <c r="A161" s="5" t="s">
        <v>541</v>
      </c>
      <c r="B161" s="5" t="s">
        <v>542</v>
      </c>
      <c r="C161" s="5" t="s">
        <v>109</v>
      </c>
      <c r="D161" s="5" t="s">
        <v>543</v>
      </c>
      <c r="E161" s="5" t="s">
        <v>111</v>
      </c>
      <c r="F161" s="5" t="s">
        <v>91</v>
      </c>
      <c r="G161" s="5" t="s">
        <v>91</v>
      </c>
      <c r="H161" s="5" t="s">
        <v>91</v>
      </c>
      <c r="I161" s="5" t="s">
        <v>91</v>
      </c>
      <c r="J161" s="5" t="s">
        <v>203</v>
      </c>
    </row>
    <row r="162" ht="21.75" customHeight="1">
      <c r="A162" s="5" t="s">
        <v>544</v>
      </c>
      <c r="B162" s="5" t="s">
        <v>545</v>
      </c>
      <c r="C162" s="5" t="s">
        <v>53</v>
      </c>
      <c r="D162" s="5" t="s">
        <v>546</v>
      </c>
      <c r="E162" s="5" t="s">
        <v>74</v>
      </c>
      <c r="F162" s="5" t="s">
        <v>24</v>
      </c>
      <c r="G162" s="5" t="s">
        <v>75</v>
      </c>
      <c r="H162" s="5" t="s">
        <v>75</v>
      </c>
      <c r="I162" s="5" t="s">
        <v>75</v>
      </c>
      <c r="J162" s="5" t="s">
        <v>56</v>
      </c>
    </row>
    <row r="163" ht="21.75" customHeight="1">
      <c r="A163" s="5" t="s">
        <v>547</v>
      </c>
      <c r="B163" s="5" t="s">
        <v>356</v>
      </c>
      <c r="C163" s="5" t="s">
        <v>206</v>
      </c>
      <c r="D163" s="5" t="s">
        <v>548</v>
      </c>
      <c r="E163" s="5" t="s">
        <v>356</v>
      </c>
      <c r="F163" s="5" t="s">
        <v>24</v>
      </c>
      <c r="G163" s="5" t="s">
        <v>61</v>
      </c>
      <c r="H163" s="5" t="s">
        <v>61</v>
      </c>
      <c r="I163" s="5" t="s">
        <v>61</v>
      </c>
      <c r="J163" s="5" t="s">
        <v>209</v>
      </c>
    </row>
    <row r="164" ht="21.75" customHeight="1">
      <c r="A164" s="5" t="s">
        <v>549</v>
      </c>
      <c r="B164" s="5" t="s">
        <v>550</v>
      </c>
      <c r="C164" s="5" t="s">
        <v>53</v>
      </c>
      <c r="D164" s="5" t="s">
        <v>551</v>
      </c>
      <c r="E164" s="5" t="s">
        <v>55</v>
      </c>
      <c r="F164" s="5" t="s">
        <v>24</v>
      </c>
      <c r="G164" s="5" t="s">
        <v>75</v>
      </c>
      <c r="H164" s="5" t="s">
        <v>24</v>
      </c>
      <c r="I164" s="5" t="s">
        <v>24</v>
      </c>
      <c r="J164" s="5" t="s">
        <v>56</v>
      </c>
    </row>
    <row r="165" ht="21.75" customHeight="1">
      <c r="A165" s="5" t="s">
        <v>552</v>
      </c>
      <c r="B165" s="5" t="s">
        <v>553</v>
      </c>
      <c r="C165" s="5" t="s">
        <v>29</v>
      </c>
      <c r="D165" s="5" t="s">
        <v>554</v>
      </c>
      <c r="E165" s="5" t="s">
        <v>288</v>
      </c>
      <c r="F165" s="5" t="s">
        <v>32</v>
      </c>
      <c r="G165" s="5" t="s">
        <v>32</v>
      </c>
      <c r="H165" s="5" t="s">
        <v>31</v>
      </c>
      <c r="I165" s="5" t="s">
        <v>32</v>
      </c>
      <c r="J165" s="5" t="s">
        <v>33</v>
      </c>
    </row>
    <row r="166" ht="21.75" customHeight="1">
      <c r="A166" s="5" t="s">
        <v>555</v>
      </c>
      <c r="B166" s="5" t="s">
        <v>556</v>
      </c>
      <c r="C166" s="5" t="s">
        <v>53</v>
      </c>
      <c r="D166" s="5" t="s">
        <v>557</v>
      </c>
      <c r="E166" s="5" t="s">
        <v>74</v>
      </c>
      <c r="F166" s="5" t="s">
        <v>24</v>
      </c>
      <c r="G166" s="5" t="s">
        <v>75</v>
      </c>
      <c r="H166" s="5" t="s">
        <v>75</v>
      </c>
      <c r="I166" s="5" t="s">
        <v>75</v>
      </c>
      <c r="J166" s="5" t="s">
        <v>56</v>
      </c>
    </row>
    <row r="167" ht="21.75" customHeight="1">
      <c r="A167" s="5" t="s">
        <v>558</v>
      </c>
      <c r="B167" s="5" t="s">
        <v>559</v>
      </c>
      <c r="C167" s="5" t="s">
        <v>82</v>
      </c>
      <c r="D167" s="5" t="s">
        <v>560</v>
      </c>
      <c r="E167" s="5" t="s">
        <v>74</v>
      </c>
      <c r="F167" s="5" t="s">
        <v>24</v>
      </c>
      <c r="G167" s="5" t="s">
        <v>75</v>
      </c>
      <c r="H167" s="5" t="s">
        <v>23</v>
      </c>
      <c r="I167" s="5" t="s">
        <v>75</v>
      </c>
      <c r="J167" s="5" t="s">
        <v>26</v>
      </c>
    </row>
    <row r="168" ht="21.75" customHeight="1">
      <c r="A168" s="5" t="s">
        <v>561</v>
      </c>
      <c r="B168" s="5" t="s">
        <v>562</v>
      </c>
      <c r="C168" s="5" t="s">
        <v>48</v>
      </c>
      <c r="D168" s="5" t="s">
        <v>563</v>
      </c>
      <c r="E168" s="5" t="s">
        <v>45</v>
      </c>
      <c r="F168" s="5" t="s">
        <v>16</v>
      </c>
      <c r="G168" s="5" t="s">
        <v>16</v>
      </c>
      <c r="H168" s="5" t="s">
        <v>17</v>
      </c>
      <c r="I168" s="5" t="s">
        <v>16</v>
      </c>
      <c r="J168" s="5" t="s">
        <v>50</v>
      </c>
    </row>
    <row r="169" ht="21.75" customHeight="1">
      <c r="A169" s="5" t="s">
        <v>564</v>
      </c>
      <c r="B169" s="5" t="s">
        <v>565</v>
      </c>
      <c r="C169" s="5" t="s">
        <v>82</v>
      </c>
      <c r="D169" s="5" t="s">
        <v>566</v>
      </c>
      <c r="E169" s="5" t="s">
        <v>74</v>
      </c>
      <c r="F169" s="5" t="s">
        <v>24</v>
      </c>
      <c r="G169" s="5" t="s">
        <v>75</v>
      </c>
      <c r="H169" s="5" t="s">
        <v>24</v>
      </c>
      <c r="I169" s="5" t="s">
        <v>75</v>
      </c>
      <c r="J169" s="5" t="s">
        <v>56</v>
      </c>
    </row>
    <row r="170" ht="21.75" customHeight="1">
      <c r="A170" s="5" t="s">
        <v>567</v>
      </c>
      <c r="B170" s="5" t="s">
        <v>208</v>
      </c>
      <c r="C170" s="5" t="s">
        <v>206</v>
      </c>
      <c r="D170" s="5" t="s">
        <v>568</v>
      </c>
      <c r="E170" s="5" t="s">
        <v>208</v>
      </c>
      <c r="F170" s="5" t="s">
        <v>24</v>
      </c>
      <c r="G170" s="5" t="s">
        <v>61</v>
      </c>
      <c r="H170" s="5" t="s">
        <v>61</v>
      </c>
      <c r="I170" s="5" t="s">
        <v>61</v>
      </c>
      <c r="J170" s="5" t="s">
        <v>209</v>
      </c>
    </row>
    <row r="171" ht="21.75" customHeight="1">
      <c r="A171" s="5" t="s">
        <v>569</v>
      </c>
      <c r="B171" s="5" t="s">
        <v>570</v>
      </c>
      <c r="C171" s="5" t="s">
        <v>59</v>
      </c>
      <c r="D171" s="5" t="s">
        <v>571</v>
      </c>
      <c r="E171" s="5" t="s">
        <v>365</v>
      </c>
      <c r="F171" s="5" t="s">
        <v>24</v>
      </c>
      <c r="G171" s="5" t="s">
        <v>24</v>
      </c>
      <c r="H171" s="5" t="s">
        <v>24</v>
      </c>
      <c r="I171" s="5" t="s">
        <v>24</v>
      </c>
      <c r="J171" s="5" t="s">
        <v>62</v>
      </c>
    </row>
    <row r="172" ht="21.75" customHeight="1">
      <c r="A172" s="5" t="s">
        <v>572</v>
      </c>
      <c r="B172" s="5" t="s">
        <v>573</v>
      </c>
      <c r="C172" s="5" t="s">
        <v>29</v>
      </c>
      <c r="D172" s="5" t="s">
        <v>574</v>
      </c>
      <c r="E172" s="5" t="s">
        <v>179</v>
      </c>
      <c r="F172" s="5" t="s">
        <v>32</v>
      </c>
      <c r="G172" s="5" t="s">
        <v>32</v>
      </c>
      <c r="H172" s="5" t="s">
        <v>31</v>
      </c>
      <c r="I172" s="5" t="s">
        <v>32</v>
      </c>
      <c r="J172" s="5" t="s">
        <v>33</v>
      </c>
    </row>
    <row r="173" ht="21.75" customHeight="1">
      <c r="A173" s="5" t="s">
        <v>575</v>
      </c>
      <c r="B173" s="5" t="s">
        <v>576</v>
      </c>
      <c r="C173" s="5" t="s">
        <v>48</v>
      </c>
      <c r="D173" s="5" t="s">
        <v>577</v>
      </c>
      <c r="E173" s="5" t="s">
        <v>47</v>
      </c>
      <c r="F173" s="5" t="s">
        <v>16</v>
      </c>
      <c r="G173" s="5" t="s">
        <v>16</v>
      </c>
      <c r="H173" s="5" t="s">
        <v>17</v>
      </c>
      <c r="I173" s="5" t="s">
        <v>16</v>
      </c>
      <c r="J173" s="5" t="s">
        <v>50</v>
      </c>
    </row>
    <row r="174" ht="21.75" customHeight="1">
      <c r="A174" s="5" t="s">
        <v>578</v>
      </c>
      <c r="B174" s="5" t="s">
        <v>579</v>
      </c>
      <c r="C174" s="5" t="s">
        <v>109</v>
      </c>
      <c r="D174" s="5" t="s">
        <v>580</v>
      </c>
      <c r="E174" s="5" t="s">
        <v>111</v>
      </c>
      <c r="F174" s="5" t="s">
        <v>91</v>
      </c>
      <c r="G174" s="5" t="s">
        <v>91</v>
      </c>
      <c r="H174" s="5" t="s">
        <v>91</v>
      </c>
      <c r="I174" s="5" t="s">
        <v>91</v>
      </c>
      <c r="J174" s="5" t="s">
        <v>203</v>
      </c>
    </row>
    <row r="175" ht="21.75" customHeight="1">
      <c r="A175" s="5" t="s">
        <v>581</v>
      </c>
      <c r="B175" s="5" t="s">
        <v>582</v>
      </c>
      <c r="C175" s="5" t="s">
        <v>13</v>
      </c>
      <c r="D175" s="5" t="s">
        <v>583</v>
      </c>
      <c r="E175" s="5" t="s">
        <v>15</v>
      </c>
      <c r="F175" s="5" t="s">
        <v>16</v>
      </c>
      <c r="G175" s="5" t="s">
        <v>17</v>
      </c>
      <c r="H175" s="5" t="s">
        <v>17</v>
      </c>
      <c r="I175" s="5" t="s">
        <v>16</v>
      </c>
      <c r="J175" s="5" t="s">
        <v>18</v>
      </c>
    </row>
    <row r="176" ht="21.75" customHeight="1">
      <c r="A176" s="5" t="s">
        <v>584</v>
      </c>
      <c r="B176" s="5" t="s">
        <v>440</v>
      </c>
      <c r="C176" s="5" t="s">
        <v>201</v>
      </c>
      <c r="D176" s="5" t="s">
        <v>585</v>
      </c>
      <c r="E176" s="5" t="s">
        <v>440</v>
      </c>
      <c r="F176" s="5" t="s">
        <v>16</v>
      </c>
      <c r="G176" s="5" t="s">
        <v>16</v>
      </c>
      <c r="H176" s="5" t="s">
        <v>16</v>
      </c>
      <c r="I176" s="5" t="s">
        <v>16</v>
      </c>
      <c r="J176" s="5" t="s">
        <v>203</v>
      </c>
    </row>
    <row r="177" ht="21.75" customHeight="1">
      <c r="A177" s="5" t="s">
        <v>586</v>
      </c>
      <c r="B177" s="5" t="s">
        <v>587</v>
      </c>
      <c r="C177" s="5" t="s">
        <v>109</v>
      </c>
      <c r="D177" s="5" t="s">
        <v>588</v>
      </c>
      <c r="E177" s="5" t="s">
        <v>111</v>
      </c>
      <c r="F177" s="5" t="s">
        <v>91</v>
      </c>
      <c r="G177" s="5" t="s">
        <v>91</v>
      </c>
      <c r="H177" s="5" t="s">
        <v>91</v>
      </c>
      <c r="I177" s="5" t="s">
        <v>91</v>
      </c>
      <c r="J177" s="5" t="s">
        <v>203</v>
      </c>
    </row>
    <row r="178" ht="21.75" customHeight="1">
      <c r="A178" s="5" t="s">
        <v>589</v>
      </c>
      <c r="B178" s="5" t="s">
        <v>590</v>
      </c>
      <c r="C178" s="5" t="s">
        <v>53</v>
      </c>
      <c r="D178" s="5" t="s">
        <v>591</v>
      </c>
      <c r="E178" s="5" t="s">
        <v>220</v>
      </c>
      <c r="F178" s="5" t="s">
        <v>24</v>
      </c>
      <c r="G178" s="5" t="s">
        <v>24</v>
      </c>
      <c r="H178" s="5" t="s">
        <v>24</v>
      </c>
      <c r="I178" s="5" t="s">
        <v>24</v>
      </c>
      <c r="J178" s="5" t="s">
        <v>56</v>
      </c>
    </row>
    <row r="179" ht="21.75" customHeight="1">
      <c r="A179" s="5" t="s">
        <v>592</v>
      </c>
      <c r="B179" s="5" t="s">
        <v>365</v>
      </c>
      <c r="C179" s="5" t="s">
        <v>59</v>
      </c>
      <c r="D179" s="5" t="s">
        <v>593</v>
      </c>
      <c r="E179" s="5" t="s">
        <v>365</v>
      </c>
      <c r="F179" s="5" t="s">
        <v>24</v>
      </c>
      <c r="G179" s="5" t="s">
        <v>24</v>
      </c>
      <c r="H179" s="5" t="s">
        <v>24</v>
      </c>
      <c r="I179" s="5" t="s">
        <v>24</v>
      </c>
      <c r="J179" s="5" t="s">
        <v>62</v>
      </c>
    </row>
    <row r="180" ht="21.75" customHeight="1">
      <c r="A180" s="5" t="s">
        <v>594</v>
      </c>
      <c r="B180" s="5" t="s">
        <v>595</v>
      </c>
      <c r="C180" s="5" t="s">
        <v>87</v>
      </c>
      <c r="D180" s="5" t="s">
        <v>596</v>
      </c>
      <c r="E180" s="5" t="s">
        <v>402</v>
      </c>
      <c r="F180" s="5" t="s">
        <v>91</v>
      </c>
      <c r="G180" s="5" t="s">
        <v>90</v>
      </c>
      <c r="H180" s="5" t="s">
        <v>90</v>
      </c>
      <c r="I180" s="5" t="s">
        <v>91</v>
      </c>
      <c r="J180" s="5" t="s">
        <v>92</v>
      </c>
    </row>
    <row r="181" ht="21.75" customHeight="1">
      <c r="A181" s="5" t="s">
        <v>597</v>
      </c>
      <c r="B181" s="5" t="s">
        <v>598</v>
      </c>
      <c r="C181" s="5" t="s">
        <v>109</v>
      </c>
      <c r="D181" s="5" t="s">
        <v>599</v>
      </c>
      <c r="E181" s="5" t="s">
        <v>598</v>
      </c>
      <c r="F181" s="5" t="s">
        <v>91</v>
      </c>
      <c r="G181" s="5" t="s">
        <v>91</v>
      </c>
      <c r="H181" s="5" t="s">
        <v>598</v>
      </c>
      <c r="I181" s="5" t="s">
        <v>91</v>
      </c>
      <c r="J181" s="5" t="s">
        <v>112</v>
      </c>
    </row>
    <row r="182" ht="21.75" customHeight="1">
      <c r="A182" s="5" t="s">
        <v>600</v>
      </c>
      <c r="B182" s="5" t="s">
        <v>601</v>
      </c>
      <c r="C182" s="5" t="s">
        <v>87</v>
      </c>
      <c r="D182" s="5" t="s">
        <v>602</v>
      </c>
      <c r="E182" s="5" t="s">
        <v>313</v>
      </c>
      <c r="F182" s="5" t="s">
        <v>16</v>
      </c>
      <c r="G182" s="5" t="s">
        <v>16</v>
      </c>
      <c r="H182" s="5" t="s">
        <v>90</v>
      </c>
      <c r="I182" s="5" t="s">
        <v>16</v>
      </c>
      <c r="J182" s="5" t="s">
        <v>92</v>
      </c>
    </row>
    <row r="183" ht="21.75" customHeight="1">
      <c r="A183" s="5" t="s">
        <v>603</v>
      </c>
      <c r="B183" s="5" t="s">
        <v>604</v>
      </c>
      <c r="C183" s="5" t="s">
        <v>109</v>
      </c>
      <c r="D183" s="5" t="s">
        <v>605</v>
      </c>
      <c r="E183" s="5" t="s">
        <v>91</v>
      </c>
      <c r="F183" s="5" t="s">
        <v>91</v>
      </c>
      <c r="G183" s="5" t="s">
        <v>91</v>
      </c>
      <c r="H183" s="5" t="s">
        <v>91</v>
      </c>
      <c r="I183" s="5" t="s">
        <v>91</v>
      </c>
      <c r="J183" s="5" t="s">
        <v>203</v>
      </c>
    </row>
    <row r="184" ht="21.75" customHeight="1">
      <c r="A184" s="5" t="s">
        <v>606</v>
      </c>
      <c r="B184" s="5" t="s">
        <v>607</v>
      </c>
      <c r="C184" s="5" t="s">
        <v>129</v>
      </c>
      <c r="D184" s="5" t="s">
        <v>608</v>
      </c>
      <c r="E184" s="5" t="s">
        <v>162</v>
      </c>
      <c r="F184" s="5" t="s">
        <v>16</v>
      </c>
      <c r="G184" s="5" t="s">
        <v>16</v>
      </c>
      <c r="H184" s="5" t="s">
        <v>16</v>
      </c>
      <c r="I184" s="5" t="s">
        <v>16</v>
      </c>
      <c r="J184" s="5" t="s">
        <v>132</v>
      </c>
    </row>
    <row r="185" ht="21.75" customHeight="1">
      <c r="A185" s="5" t="s">
        <v>609</v>
      </c>
      <c r="B185" s="5" t="s">
        <v>610</v>
      </c>
      <c r="C185" s="5" t="s">
        <v>129</v>
      </c>
      <c r="D185" s="5" t="s">
        <v>611</v>
      </c>
      <c r="E185" s="5" t="s">
        <v>131</v>
      </c>
      <c r="F185" s="5" t="s">
        <v>16</v>
      </c>
      <c r="G185" s="5" t="s">
        <v>16</v>
      </c>
      <c r="H185" s="5" t="s">
        <v>16</v>
      </c>
      <c r="I185" s="5" t="s">
        <v>16</v>
      </c>
      <c r="J185" s="5" t="s">
        <v>132</v>
      </c>
    </row>
    <row r="186" ht="21.75" customHeight="1">
      <c r="A186" s="5" t="s">
        <v>612</v>
      </c>
      <c r="B186" s="5" t="s">
        <v>613</v>
      </c>
      <c r="C186" s="5" t="s">
        <v>29</v>
      </c>
      <c r="D186" s="5" t="s">
        <v>614</v>
      </c>
      <c r="E186" s="5" t="s">
        <v>45</v>
      </c>
      <c r="F186" s="5" t="s">
        <v>16</v>
      </c>
      <c r="G186" s="5" t="s">
        <v>32</v>
      </c>
      <c r="H186" s="5" t="s">
        <v>32</v>
      </c>
      <c r="I186" s="5" t="s">
        <v>32</v>
      </c>
      <c r="J186" s="5" t="s">
        <v>33</v>
      </c>
    </row>
    <row r="187" ht="21.75" customHeight="1">
      <c r="A187" s="5" t="s">
        <v>615</v>
      </c>
      <c r="B187" s="5" t="s">
        <v>616</v>
      </c>
      <c r="C187" s="5" t="s">
        <v>82</v>
      </c>
      <c r="D187" s="5" t="s">
        <v>617</v>
      </c>
      <c r="E187" s="5" t="s">
        <v>74</v>
      </c>
      <c r="F187" s="5" t="s">
        <v>24</v>
      </c>
      <c r="G187" s="5" t="s">
        <v>75</v>
      </c>
      <c r="H187" s="5" t="s">
        <v>75</v>
      </c>
      <c r="I187" s="5" t="s">
        <v>75</v>
      </c>
      <c r="J187" s="5" t="s">
        <v>26</v>
      </c>
    </row>
    <row r="188" ht="21.75" customHeight="1">
      <c r="A188" s="5" t="s">
        <v>618</v>
      </c>
      <c r="B188" s="5" t="s">
        <v>179</v>
      </c>
      <c r="C188" s="5" t="s">
        <v>29</v>
      </c>
      <c r="D188" s="5" t="s">
        <v>619</v>
      </c>
      <c r="E188" s="5" t="s">
        <v>179</v>
      </c>
      <c r="F188" s="5" t="s">
        <v>32</v>
      </c>
      <c r="G188" s="5" t="s">
        <v>32</v>
      </c>
      <c r="H188" s="5" t="s">
        <v>31</v>
      </c>
      <c r="I188" s="5" t="s">
        <v>32</v>
      </c>
      <c r="J188" s="5" t="s">
        <v>33</v>
      </c>
    </row>
    <row r="189" ht="21.75" customHeight="1">
      <c r="A189" s="5" t="s">
        <v>620</v>
      </c>
      <c r="B189" s="5" t="s">
        <v>621</v>
      </c>
      <c r="C189" s="5" t="s">
        <v>53</v>
      </c>
      <c r="D189" s="5" t="s">
        <v>622</v>
      </c>
      <c r="E189" s="5" t="s">
        <v>55</v>
      </c>
      <c r="F189" s="5" t="s">
        <v>24</v>
      </c>
      <c r="G189" s="5" t="s">
        <v>24</v>
      </c>
      <c r="H189" s="5" t="s">
        <v>24</v>
      </c>
      <c r="I189" s="5" t="s">
        <v>24</v>
      </c>
      <c r="J189" s="5" t="s">
        <v>56</v>
      </c>
    </row>
    <row r="190" ht="21.75" customHeight="1">
      <c r="A190" s="5" t="s">
        <v>623</v>
      </c>
      <c r="B190" s="5" t="s">
        <v>175</v>
      </c>
      <c r="C190" s="5" t="s">
        <v>36</v>
      </c>
      <c r="D190" s="5" t="s">
        <v>624</v>
      </c>
      <c r="E190" s="5" t="s">
        <v>175</v>
      </c>
      <c r="F190" s="5" t="s">
        <v>32</v>
      </c>
      <c r="G190" s="5" t="s">
        <v>32</v>
      </c>
      <c r="H190" s="5" t="s">
        <v>32</v>
      </c>
      <c r="I190" s="5" t="s">
        <v>32</v>
      </c>
      <c r="J190" s="5" t="s">
        <v>40</v>
      </c>
    </row>
    <row r="191" ht="21.75" customHeight="1">
      <c r="A191" s="5" t="s">
        <v>625</v>
      </c>
      <c r="B191" s="5" t="s">
        <v>626</v>
      </c>
      <c r="C191" s="5" t="s">
        <v>201</v>
      </c>
      <c r="D191" s="5" t="s">
        <v>627</v>
      </c>
      <c r="E191" s="5" t="s">
        <v>440</v>
      </c>
      <c r="F191" s="5" t="s">
        <v>16</v>
      </c>
      <c r="G191" s="5" t="s">
        <v>16</v>
      </c>
      <c r="H191" s="5" t="s">
        <v>75</v>
      </c>
      <c r="I191" s="5" t="s">
        <v>16</v>
      </c>
      <c r="J191" s="5" t="s">
        <v>203</v>
      </c>
    </row>
    <row r="192" ht="21.75" customHeight="1">
      <c r="A192" s="5" t="s">
        <v>628</v>
      </c>
      <c r="B192" s="5" t="s">
        <v>629</v>
      </c>
      <c r="C192" s="5" t="s">
        <v>87</v>
      </c>
      <c r="D192" s="5" t="s">
        <v>630</v>
      </c>
      <c r="E192" s="5" t="s">
        <v>89</v>
      </c>
      <c r="F192" s="5" t="s">
        <v>16</v>
      </c>
      <c r="G192" s="5" t="s">
        <v>16</v>
      </c>
      <c r="H192" s="5" t="s">
        <v>90</v>
      </c>
      <c r="I192" s="5" t="s">
        <v>16</v>
      </c>
      <c r="J192" s="5" t="s">
        <v>92</v>
      </c>
    </row>
    <row r="193" ht="21.75" customHeight="1">
      <c r="A193" s="5" t="s">
        <v>631</v>
      </c>
      <c r="B193" s="5" t="s">
        <v>632</v>
      </c>
      <c r="C193" s="5" t="s">
        <v>53</v>
      </c>
      <c r="D193" s="5" t="s">
        <v>633</v>
      </c>
      <c r="E193" s="5" t="s">
        <v>55</v>
      </c>
      <c r="F193" s="5" t="s">
        <v>24</v>
      </c>
      <c r="G193" s="5" t="s">
        <v>24</v>
      </c>
      <c r="H193" s="5" t="s">
        <v>24</v>
      </c>
      <c r="I193" s="5" t="s">
        <v>24</v>
      </c>
      <c r="J193" s="5" t="s">
        <v>56</v>
      </c>
    </row>
    <row r="194" ht="21.75" customHeight="1">
      <c r="A194" s="5" t="s">
        <v>634</v>
      </c>
      <c r="B194" s="5" t="s">
        <v>635</v>
      </c>
      <c r="C194" s="5" t="s">
        <v>53</v>
      </c>
      <c r="D194" s="5" t="s">
        <v>636</v>
      </c>
      <c r="E194" s="5" t="s">
        <v>637</v>
      </c>
      <c r="F194" s="5" t="s">
        <v>24</v>
      </c>
      <c r="G194" s="5" t="s">
        <v>24</v>
      </c>
      <c r="H194" s="5" t="s">
        <v>24</v>
      </c>
      <c r="I194" s="5" t="s">
        <v>24</v>
      </c>
      <c r="J194" s="5" t="s">
        <v>56</v>
      </c>
    </row>
    <row r="195" ht="21.75" customHeight="1">
      <c r="A195" s="5" t="s">
        <v>638</v>
      </c>
      <c r="B195" s="5" t="s">
        <v>639</v>
      </c>
      <c r="C195" s="5" t="s">
        <v>53</v>
      </c>
      <c r="D195" s="5" t="s">
        <v>640</v>
      </c>
      <c r="E195" s="5" t="s">
        <v>637</v>
      </c>
      <c r="F195" s="5" t="s">
        <v>24</v>
      </c>
      <c r="G195" s="5" t="s">
        <v>24</v>
      </c>
      <c r="H195" s="5" t="s">
        <v>24</v>
      </c>
      <c r="I195" s="5" t="s">
        <v>24</v>
      </c>
      <c r="J195" s="5" t="s">
        <v>56</v>
      </c>
    </row>
    <row r="196" ht="21.75" customHeight="1">
      <c r="A196" s="5" t="s">
        <v>641</v>
      </c>
      <c r="B196" s="5" t="s">
        <v>75</v>
      </c>
      <c r="C196" s="5" t="s">
        <v>82</v>
      </c>
      <c r="D196" s="5" t="s">
        <v>642</v>
      </c>
      <c r="E196" s="5" t="s">
        <v>84</v>
      </c>
      <c r="F196" s="5" t="s">
        <v>24</v>
      </c>
      <c r="G196" s="5" t="s">
        <v>75</v>
      </c>
      <c r="H196" s="5" t="s">
        <v>75</v>
      </c>
      <c r="I196" s="5" t="s">
        <v>75</v>
      </c>
      <c r="J196" s="5" t="s">
        <v>26</v>
      </c>
    </row>
    <row r="197" ht="21.75" customHeight="1">
      <c r="A197" s="5" t="s">
        <v>643</v>
      </c>
      <c r="B197" s="5" t="s">
        <v>644</v>
      </c>
      <c r="C197" s="5" t="s">
        <v>129</v>
      </c>
      <c r="D197" s="5" t="s">
        <v>645</v>
      </c>
      <c r="E197" s="5" t="s">
        <v>131</v>
      </c>
      <c r="F197" s="5" t="s">
        <v>16</v>
      </c>
      <c r="G197" s="5" t="s">
        <v>16</v>
      </c>
      <c r="H197" s="5" t="s">
        <v>16</v>
      </c>
      <c r="I197" s="5" t="s">
        <v>16</v>
      </c>
      <c r="J197" s="5" t="s">
        <v>132</v>
      </c>
    </row>
    <row r="198" ht="21.75" customHeight="1">
      <c r="A198" s="5" t="s">
        <v>646</v>
      </c>
      <c r="B198" s="5" t="s">
        <v>647</v>
      </c>
      <c r="C198" s="5" t="s">
        <v>109</v>
      </c>
      <c r="D198" s="5" t="s">
        <v>648</v>
      </c>
      <c r="E198" s="5" t="s">
        <v>111</v>
      </c>
      <c r="F198" s="5" t="s">
        <v>91</v>
      </c>
      <c r="G198" s="5" t="s">
        <v>91</v>
      </c>
      <c r="H198" s="5" t="s">
        <v>91</v>
      </c>
      <c r="I198" s="5" t="s">
        <v>91</v>
      </c>
      <c r="J198" s="5" t="s">
        <v>112</v>
      </c>
    </row>
    <row r="199" ht="21.75" customHeight="1">
      <c r="A199" s="5" t="s">
        <v>649</v>
      </c>
      <c r="B199" s="5" t="s">
        <v>55</v>
      </c>
      <c r="C199" s="5" t="s">
        <v>53</v>
      </c>
      <c r="D199" s="5" t="s">
        <v>650</v>
      </c>
      <c r="E199" s="5" t="s">
        <v>55</v>
      </c>
      <c r="F199" s="5" t="s">
        <v>24</v>
      </c>
      <c r="G199" s="5" t="s">
        <v>24</v>
      </c>
      <c r="H199" s="5" t="s">
        <v>24</v>
      </c>
      <c r="I199" s="5" t="s">
        <v>24</v>
      </c>
      <c r="J199" s="5" t="s">
        <v>56</v>
      </c>
    </row>
    <row r="200" ht="21.75" customHeight="1">
      <c r="A200" s="5" t="s">
        <v>651</v>
      </c>
      <c r="B200" s="5" t="s">
        <v>652</v>
      </c>
      <c r="C200" s="5" t="s">
        <v>109</v>
      </c>
      <c r="D200" s="5" t="s">
        <v>192</v>
      </c>
      <c r="E200" s="5" t="s">
        <v>91</v>
      </c>
      <c r="F200" s="5" t="s">
        <v>91</v>
      </c>
      <c r="G200" s="5" t="s">
        <v>91</v>
      </c>
      <c r="H200" s="5" t="s">
        <v>91</v>
      </c>
      <c r="I200" s="5" t="s">
        <v>91</v>
      </c>
      <c r="J200" s="5" t="s">
        <v>112</v>
      </c>
    </row>
    <row r="201" ht="21.75" customHeight="1">
      <c r="A201" s="5" t="s">
        <v>653</v>
      </c>
      <c r="B201" s="5" t="s">
        <v>654</v>
      </c>
      <c r="C201" s="5" t="s">
        <v>72</v>
      </c>
      <c r="D201" s="5" t="s">
        <v>655</v>
      </c>
      <c r="E201" s="5" t="s">
        <v>216</v>
      </c>
      <c r="F201" s="5" t="s">
        <v>91</v>
      </c>
      <c r="G201" s="5" t="s">
        <v>91</v>
      </c>
      <c r="H201" s="5" t="s">
        <v>91</v>
      </c>
      <c r="I201" s="5" t="s">
        <v>91</v>
      </c>
      <c r="J201" s="5" t="s">
        <v>76</v>
      </c>
    </row>
    <row r="202" ht="21.75" customHeight="1">
      <c r="A202" s="5" t="s">
        <v>656</v>
      </c>
      <c r="B202" s="5" t="s">
        <v>657</v>
      </c>
      <c r="C202" s="5" t="s">
        <v>53</v>
      </c>
      <c r="D202" s="5" t="s">
        <v>658</v>
      </c>
      <c r="E202" s="5" t="s">
        <v>23</v>
      </c>
      <c r="F202" s="5" t="s">
        <v>24</v>
      </c>
      <c r="G202" s="5" t="s">
        <v>24</v>
      </c>
      <c r="H202" s="5" t="s">
        <v>23</v>
      </c>
      <c r="I202" s="5" t="s">
        <v>24</v>
      </c>
      <c r="J202" s="5" t="s">
        <v>56</v>
      </c>
    </row>
    <row r="203" ht="21.75" customHeight="1">
      <c r="A203" s="5" t="s">
        <v>659</v>
      </c>
      <c r="B203" s="5" t="s">
        <v>660</v>
      </c>
      <c r="C203" s="5" t="s">
        <v>43</v>
      </c>
      <c r="D203" s="5" t="s">
        <v>661</v>
      </c>
      <c r="E203" s="5" t="s">
        <v>98</v>
      </c>
      <c r="F203" s="5" t="s">
        <v>16</v>
      </c>
      <c r="G203" s="5" t="s">
        <v>16</v>
      </c>
      <c r="H203" s="5" t="s">
        <v>16</v>
      </c>
      <c r="I203" s="5" t="s">
        <v>16</v>
      </c>
      <c r="J203" s="5" t="s">
        <v>40</v>
      </c>
    </row>
    <row r="204" ht="21.75" customHeight="1">
      <c r="A204" s="5" t="s">
        <v>662</v>
      </c>
      <c r="B204" s="5" t="s">
        <v>61</v>
      </c>
      <c r="C204" s="5" t="s">
        <v>206</v>
      </c>
      <c r="D204" s="5" t="s">
        <v>663</v>
      </c>
      <c r="E204" s="5" t="s">
        <v>61</v>
      </c>
      <c r="F204" s="5" t="s">
        <v>24</v>
      </c>
      <c r="G204" s="5" t="s">
        <v>61</v>
      </c>
      <c r="H204" s="5" t="s">
        <v>61</v>
      </c>
      <c r="I204" s="5" t="s">
        <v>61</v>
      </c>
      <c r="J204" s="5" t="s">
        <v>209</v>
      </c>
    </row>
    <row r="205" ht="21.75" customHeight="1">
      <c r="A205" s="5" t="s">
        <v>664</v>
      </c>
      <c r="B205" s="5" t="s">
        <v>665</v>
      </c>
      <c r="C205" s="5" t="s">
        <v>87</v>
      </c>
      <c r="D205" s="5" t="s">
        <v>666</v>
      </c>
      <c r="E205" s="5" t="s">
        <v>402</v>
      </c>
      <c r="F205" s="5" t="s">
        <v>91</v>
      </c>
      <c r="G205" s="5" t="s">
        <v>90</v>
      </c>
      <c r="H205" s="5" t="s">
        <v>90</v>
      </c>
      <c r="I205" s="5" t="s">
        <v>91</v>
      </c>
      <c r="J205" s="5" t="s">
        <v>92</v>
      </c>
    </row>
    <row r="206" ht="21.75" customHeight="1">
      <c r="A206" s="5" t="s">
        <v>667</v>
      </c>
      <c r="B206" s="5" t="s">
        <v>288</v>
      </c>
      <c r="C206" s="5" t="s">
        <v>29</v>
      </c>
      <c r="D206" s="5" t="s">
        <v>668</v>
      </c>
      <c r="E206" s="5" t="s">
        <v>288</v>
      </c>
      <c r="F206" s="5" t="s">
        <v>32</v>
      </c>
      <c r="G206" s="5" t="s">
        <v>32</v>
      </c>
      <c r="H206" s="5" t="s">
        <v>31</v>
      </c>
      <c r="I206" s="5" t="s">
        <v>32</v>
      </c>
      <c r="J206" s="5" t="s">
        <v>33</v>
      </c>
    </row>
    <row r="207" ht="21.75" customHeight="1">
      <c r="A207" s="5" t="s">
        <v>669</v>
      </c>
      <c r="B207" s="5" t="s">
        <v>670</v>
      </c>
      <c r="C207" s="5" t="s">
        <v>87</v>
      </c>
      <c r="D207" s="5" t="s">
        <v>671</v>
      </c>
      <c r="E207" s="5" t="s">
        <v>402</v>
      </c>
      <c r="F207" s="5" t="s">
        <v>91</v>
      </c>
      <c r="G207" s="5" t="s">
        <v>90</v>
      </c>
      <c r="H207" s="5" t="s">
        <v>90</v>
      </c>
      <c r="I207" s="5" t="s">
        <v>91</v>
      </c>
      <c r="J207" s="5" t="s">
        <v>92</v>
      </c>
    </row>
    <row r="208" ht="21.75" customHeight="1">
      <c r="A208" s="5" t="s">
        <v>672</v>
      </c>
      <c r="B208" s="5" t="s">
        <v>673</v>
      </c>
      <c r="C208" s="5" t="s">
        <v>43</v>
      </c>
      <c r="D208" s="5" t="s">
        <v>674</v>
      </c>
      <c r="E208" s="5" t="s">
        <v>45</v>
      </c>
      <c r="F208" s="5" t="s">
        <v>16</v>
      </c>
      <c r="G208" s="5" t="s">
        <v>32</v>
      </c>
      <c r="H208" s="5" t="s">
        <v>32</v>
      </c>
      <c r="I208" s="5" t="s">
        <v>32</v>
      </c>
      <c r="J208" s="5" t="s">
        <v>40</v>
      </c>
    </row>
    <row r="209" ht="21.75" customHeight="1">
      <c r="A209" s="5" t="s">
        <v>675</v>
      </c>
      <c r="B209" s="5" t="s">
        <v>676</v>
      </c>
      <c r="C209" s="5" t="s">
        <v>59</v>
      </c>
      <c r="D209" s="5" t="s">
        <v>677</v>
      </c>
      <c r="E209" s="5" t="s">
        <v>58</v>
      </c>
      <c r="F209" s="5" t="s">
        <v>24</v>
      </c>
      <c r="G209" s="5" t="s">
        <v>39</v>
      </c>
      <c r="H209" s="5" t="s">
        <v>61</v>
      </c>
      <c r="I209" s="5" t="s">
        <v>24</v>
      </c>
      <c r="J209" s="5" t="s">
        <v>62</v>
      </c>
    </row>
    <row r="210" ht="21.75" customHeight="1">
      <c r="A210" s="5" t="s">
        <v>678</v>
      </c>
      <c r="B210" s="5" t="s">
        <v>679</v>
      </c>
      <c r="C210" s="5" t="s">
        <v>21</v>
      </c>
      <c r="D210" s="5" t="s">
        <v>680</v>
      </c>
      <c r="E210" s="5" t="s">
        <v>23</v>
      </c>
      <c r="F210" s="5" t="s">
        <v>24</v>
      </c>
      <c r="G210" s="5" t="s">
        <v>75</v>
      </c>
      <c r="H210" s="5" t="s">
        <v>23</v>
      </c>
      <c r="I210" s="5" t="s">
        <v>75</v>
      </c>
      <c r="J210" s="5" t="s">
        <v>26</v>
      </c>
    </row>
    <row r="211" ht="21.75" customHeight="1">
      <c r="A211" s="5" t="s">
        <v>681</v>
      </c>
      <c r="B211" s="5" t="s">
        <v>682</v>
      </c>
      <c r="C211" s="5" t="s">
        <v>29</v>
      </c>
      <c r="D211" s="5" t="s">
        <v>683</v>
      </c>
      <c r="E211" s="5" t="s">
        <v>31</v>
      </c>
      <c r="F211" s="5" t="s">
        <v>32</v>
      </c>
      <c r="G211" s="5" t="s">
        <v>32</v>
      </c>
      <c r="H211" s="5" t="s">
        <v>31</v>
      </c>
      <c r="I211" s="5" t="s">
        <v>32</v>
      </c>
      <c r="J211" s="5" t="s">
        <v>33</v>
      </c>
    </row>
    <row r="212" ht="21.75" customHeight="1">
      <c r="A212" s="5" t="s">
        <v>684</v>
      </c>
      <c r="B212" s="5" t="s">
        <v>685</v>
      </c>
      <c r="C212" s="5" t="s">
        <v>29</v>
      </c>
      <c r="D212" s="5" t="s">
        <v>686</v>
      </c>
      <c r="E212" s="5" t="s">
        <v>45</v>
      </c>
      <c r="F212" s="5" t="s">
        <v>16</v>
      </c>
      <c r="G212" s="5" t="s">
        <v>32</v>
      </c>
      <c r="H212" s="5" t="s">
        <v>32</v>
      </c>
      <c r="I212" s="5" t="s">
        <v>32</v>
      </c>
      <c r="J212" s="5" t="s">
        <v>33</v>
      </c>
    </row>
    <row r="213" ht="21.75" customHeight="1">
      <c r="A213" s="5" t="s">
        <v>687</v>
      </c>
      <c r="B213" s="5" t="s">
        <v>402</v>
      </c>
      <c r="C213" s="5" t="s">
        <v>87</v>
      </c>
      <c r="D213" s="5" t="s">
        <v>688</v>
      </c>
      <c r="E213" s="5" t="s">
        <v>402</v>
      </c>
      <c r="F213" s="5" t="s">
        <v>91</v>
      </c>
      <c r="G213" s="5" t="s">
        <v>90</v>
      </c>
      <c r="H213" s="5" t="s">
        <v>90</v>
      </c>
      <c r="I213" s="5" t="s">
        <v>91</v>
      </c>
      <c r="J213" s="5" t="s">
        <v>92</v>
      </c>
    </row>
    <row r="214" ht="21.75" customHeight="1">
      <c r="A214" s="5" t="s">
        <v>689</v>
      </c>
      <c r="B214" s="5" t="s">
        <v>216</v>
      </c>
      <c r="C214" s="5" t="s">
        <v>72</v>
      </c>
      <c r="D214" s="5" t="s">
        <v>690</v>
      </c>
      <c r="E214" s="5" t="s">
        <v>216</v>
      </c>
      <c r="F214" s="5" t="s">
        <v>91</v>
      </c>
      <c r="G214" s="5" t="s">
        <v>91</v>
      </c>
      <c r="H214" s="5" t="s">
        <v>91</v>
      </c>
      <c r="I214" s="5" t="s">
        <v>91</v>
      </c>
      <c r="J214" s="5" t="s">
        <v>76</v>
      </c>
    </row>
    <row r="215" ht="21.75" customHeight="1">
      <c r="A215" s="5" t="s">
        <v>691</v>
      </c>
      <c r="B215" s="5" t="s">
        <v>692</v>
      </c>
      <c r="C215" s="5" t="s">
        <v>48</v>
      </c>
      <c r="D215" s="5" t="s">
        <v>693</v>
      </c>
      <c r="E215" s="5" t="s">
        <v>160</v>
      </c>
      <c r="F215" s="5" t="s">
        <v>16</v>
      </c>
      <c r="G215" s="5" t="s">
        <v>16</v>
      </c>
      <c r="H215" s="5" t="s">
        <v>16</v>
      </c>
      <c r="I215" s="5" t="s">
        <v>16</v>
      </c>
      <c r="J215" s="5" t="s">
        <v>50</v>
      </c>
    </row>
    <row r="216" ht="21.75" customHeight="1">
      <c r="A216" s="5" t="s">
        <v>694</v>
      </c>
      <c r="B216" s="5" t="s">
        <v>695</v>
      </c>
      <c r="C216" s="5" t="s">
        <v>29</v>
      </c>
      <c r="D216" s="5" t="s">
        <v>696</v>
      </c>
      <c r="E216" s="5" t="s">
        <v>179</v>
      </c>
      <c r="F216" s="5" t="s">
        <v>32</v>
      </c>
      <c r="G216" s="5" t="s">
        <v>32</v>
      </c>
      <c r="H216" s="5" t="s">
        <v>31</v>
      </c>
      <c r="I216" s="5" t="s">
        <v>32</v>
      </c>
      <c r="J216" s="5" t="s">
        <v>33</v>
      </c>
    </row>
    <row r="217" ht="21.75" customHeight="1">
      <c r="A217" s="5" t="s">
        <v>697</v>
      </c>
      <c r="B217" s="5" t="s">
        <v>698</v>
      </c>
      <c r="C217" s="5" t="s">
        <v>48</v>
      </c>
      <c r="D217" s="5" t="s">
        <v>699</v>
      </c>
      <c r="E217" s="5" t="s">
        <v>15</v>
      </c>
      <c r="F217" s="5" t="s">
        <v>16</v>
      </c>
      <c r="G217" s="5" t="s">
        <v>17</v>
      </c>
      <c r="H217" s="5" t="s">
        <v>17</v>
      </c>
      <c r="I217" s="5" t="s">
        <v>16</v>
      </c>
      <c r="J217" s="5" t="s">
        <v>50</v>
      </c>
    </row>
    <row r="218" ht="21.75" customHeight="1">
      <c r="A218" s="5" t="s">
        <v>700</v>
      </c>
      <c r="B218" s="5" t="s">
        <v>701</v>
      </c>
      <c r="C218" s="5" t="s">
        <v>53</v>
      </c>
      <c r="D218" s="5" t="s">
        <v>702</v>
      </c>
      <c r="E218" s="5" t="s">
        <v>55</v>
      </c>
      <c r="F218" s="5" t="s">
        <v>24</v>
      </c>
      <c r="G218" s="5" t="s">
        <v>24</v>
      </c>
      <c r="H218" s="5" t="s">
        <v>24</v>
      </c>
      <c r="I218" s="5" t="s">
        <v>24</v>
      </c>
      <c r="J218" s="5" t="s">
        <v>56</v>
      </c>
    </row>
    <row r="219" ht="21.75" customHeight="1">
      <c r="A219" s="5" t="s">
        <v>703</v>
      </c>
      <c r="B219" s="5" t="s">
        <v>704</v>
      </c>
      <c r="C219" s="5" t="s">
        <v>36</v>
      </c>
      <c r="D219" s="5" t="s">
        <v>705</v>
      </c>
      <c r="E219" s="5" t="s">
        <v>38</v>
      </c>
      <c r="F219" s="5" t="s">
        <v>32</v>
      </c>
      <c r="G219" s="5" t="s">
        <v>39</v>
      </c>
      <c r="H219" s="5" t="s">
        <v>32</v>
      </c>
      <c r="I219" s="5" t="s">
        <v>24</v>
      </c>
      <c r="J219" s="5" t="s">
        <v>40</v>
      </c>
    </row>
    <row r="220" ht="21.75" customHeight="1">
      <c r="A220" s="5" t="s">
        <v>706</v>
      </c>
      <c r="B220" s="5" t="s">
        <v>66</v>
      </c>
      <c r="C220" s="5" t="s">
        <v>21</v>
      </c>
      <c r="D220" s="5" t="s">
        <v>707</v>
      </c>
      <c r="E220" s="5" t="s">
        <v>66</v>
      </c>
      <c r="F220" s="5" t="s">
        <v>24</v>
      </c>
      <c r="G220" s="5" t="s">
        <v>25</v>
      </c>
      <c r="H220" s="5" t="s">
        <v>23</v>
      </c>
      <c r="I220" s="5" t="s">
        <v>25</v>
      </c>
      <c r="J220" s="5" t="s">
        <v>26</v>
      </c>
    </row>
    <row r="221" ht="21.75" customHeight="1">
      <c r="A221" s="5" t="s">
        <v>708</v>
      </c>
      <c r="B221" s="5" t="s">
        <v>709</v>
      </c>
      <c r="C221" s="5" t="s">
        <v>109</v>
      </c>
      <c r="D221" s="5" t="s">
        <v>710</v>
      </c>
      <c r="E221" s="5" t="s">
        <v>91</v>
      </c>
      <c r="F221" s="5" t="s">
        <v>91</v>
      </c>
      <c r="G221" s="5" t="s">
        <v>91</v>
      </c>
      <c r="H221" s="5" t="s">
        <v>598</v>
      </c>
      <c r="I221" s="5" t="s">
        <v>91</v>
      </c>
      <c r="J221" s="5" t="s">
        <v>112</v>
      </c>
    </row>
    <row r="222" ht="21.75" customHeight="1">
      <c r="A222" s="5" t="s">
        <v>711</v>
      </c>
      <c r="B222" s="5" t="s">
        <v>712</v>
      </c>
      <c r="C222" s="5" t="s">
        <v>29</v>
      </c>
      <c r="D222" s="5" t="s">
        <v>713</v>
      </c>
      <c r="E222" s="5" t="s">
        <v>374</v>
      </c>
      <c r="F222" s="5" t="s">
        <v>32</v>
      </c>
      <c r="G222" s="5" t="s">
        <v>32</v>
      </c>
      <c r="H222" s="5" t="s">
        <v>32</v>
      </c>
      <c r="I222" s="5" t="s">
        <v>32</v>
      </c>
      <c r="J222" s="5" t="s">
        <v>33</v>
      </c>
    </row>
    <row r="223" ht="21.75" customHeight="1">
      <c r="A223" s="5" t="s">
        <v>714</v>
      </c>
      <c r="B223" s="5" t="s">
        <v>715</v>
      </c>
      <c r="C223" s="5" t="s">
        <v>43</v>
      </c>
      <c r="D223" s="5" t="s">
        <v>716</v>
      </c>
      <c r="E223" s="5" t="s">
        <v>98</v>
      </c>
      <c r="F223" s="5" t="s">
        <v>16</v>
      </c>
      <c r="G223" s="5" t="s">
        <v>16</v>
      </c>
      <c r="H223" s="5" t="s">
        <v>16</v>
      </c>
      <c r="I223" s="5" t="s">
        <v>16</v>
      </c>
      <c r="J223" s="5" t="s">
        <v>40</v>
      </c>
    </row>
    <row r="224" ht="21.75" customHeight="1">
      <c r="A224" s="5" t="s">
        <v>717</v>
      </c>
      <c r="B224" s="5" t="s">
        <v>718</v>
      </c>
      <c r="C224" s="5" t="s">
        <v>109</v>
      </c>
      <c r="D224" s="5" t="s">
        <v>719</v>
      </c>
      <c r="E224" s="5" t="s">
        <v>598</v>
      </c>
      <c r="F224" s="5" t="s">
        <v>91</v>
      </c>
      <c r="G224" s="5" t="s">
        <v>91</v>
      </c>
      <c r="H224" s="5" t="s">
        <v>598</v>
      </c>
      <c r="I224" s="5" t="s">
        <v>91</v>
      </c>
      <c r="J224" s="5" t="s">
        <v>112</v>
      </c>
    </row>
    <row r="225" ht="21.75" customHeight="1">
      <c r="A225" s="5" t="s">
        <v>720</v>
      </c>
      <c r="B225" s="5" t="s">
        <v>721</v>
      </c>
      <c r="C225" s="5" t="s">
        <v>109</v>
      </c>
      <c r="D225" s="5" t="s">
        <v>722</v>
      </c>
      <c r="E225" s="5" t="s">
        <v>598</v>
      </c>
      <c r="F225" s="5" t="s">
        <v>91</v>
      </c>
      <c r="G225" s="5" t="s">
        <v>91</v>
      </c>
      <c r="H225" s="5" t="s">
        <v>598</v>
      </c>
      <c r="I225" s="5" t="s">
        <v>91</v>
      </c>
      <c r="J225" s="5" t="s">
        <v>112</v>
      </c>
    </row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000"/>
  <mergeCells count="1">
    <mergeCell ref="B1:C1"/>
  </mergeCells>
  <printOptions/>
  <pageMargins bottom="0.2777777777777778" footer="0.0" header="0.0" left="0.2777777777777778" right="0.2777777777777778" top="0.277777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10.63"/>
    <col customWidth="1" min="3" max="3" width="26.38"/>
    <col customWidth="1" min="4" max="4" width="75.0"/>
    <col customWidth="1" min="5" max="26" width="10.63"/>
  </cols>
  <sheetData>
    <row r="1" ht="14.25" customHeight="1">
      <c r="A1" s="6" t="s">
        <v>723</v>
      </c>
      <c r="B1" s="6" t="s">
        <v>724</v>
      </c>
      <c r="C1" s="6" t="s">
        <v>725</v>
      </c>
      <c r="D1" s="6" t="s">
        <v>726</v>
      </c>
      <c r="E1" s="6" t="s">
        <v>727</v>
      </c>
      <c r="F1" s="6" t="s">
        <v>728</v>
      </c>
      <c r="G1" s="6" t="s">
        <v>729</v>
      </c>
      <c r="H1" s="6" t="s">
        <v>730</v>
      </c>
      <c r="I1" s="6" t="s">
        <v>731</v>
      </c>
      <c r="J1" s="6" t="s">
        <v>732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545</v>
      </c>
      <c r="B2" s="8">
        <f>VLOOKUP(A2,habs,2,0)</f>
        <v>75</v>
      </c>
      <c r="C2" s="7" t="s">
        <v>53</v>
      </c>
      <c r="D2" s="7" t="s">
        <v>56</v>
      </c>
      <c r="E2" s="9">
        <v>15.1</v>
      </c>
      <c r="F2" s="7" t="s">
        <v>74</v>
      </c>
      <c r="G2" s="7" t="s">
        <v>24</v>
      </c>
      <c r="H2" s="7" t="s">
        <v>75</v>
      </c>
      <c r="I2" s="7" t="s">
        <v>75</v>
      </c>
      <c r="J2" s="7" t="s">
        <v>75</v>
      </c>
    </row>
    <row r="3" ht="14.25" customHeight="1">
      <c r="A3" s="7" t="s">
        <v>191</v>
      </c>
      <c r="B3" s="8">
        <f>VLOOKUP(A3,habs,2,0)</f>
        <v>83</v>
      </c>
      <c r="C3" s="7" t="s">
        <v>72</v>
      </c>
      <c r="D3" s="7" t="s">
        <v>76</v>
      </c>
      <c r="E3" s="9">
        <v>25.59</v>
      </c>
      <c r="F3" s="7" t="s">
        <v>146</v>
      </c>
      <c r="G3" s="7" t="s">
        <v>91</v>
      </c>
      <c r="H3" s="7" t="s">
        <v>91</v>
      </c>
      <c r="I3" s="7" t="s">
        <v>91</v>
      </c>
      <c r="J3" s="7" t="s">
        <v>91</v>
      </c>
    </row>
    <row r="4" ht="14.25" customHeight="1">
      <c r="A4" s="7" t="s">
        <v>137</v>
      </c>
      <c r="B4" s="8">
        <f>VLOOKUP(A4,habs,2,0)</f>
        <v>86</v>
      </c>
      <c r="C4" s="7" t="s">
        <v>53</v>
      </c>
      <c r="D4" s="7" t="s">
        <v>56</v>
      </c>
      <c r="E4" s="9">
        <v>13.31</v>
      </c>
      <c r="F4" s="7" t="s">
        <v>55</v>
      </c>
      <c r="G4" s="7" t="s">
        <v>24</v>
      </c>
      <c r="H4" s="7" t="s">
        <v>24</v>
      </c>
      <c r="I4" s="7" t="s">
        <v>24</v>
      </c>
      <c r="J4" s="7" t="s">
        <v>24</v>
      </c>
    </row>
    <row r="5" ht="14.25" customHeight="1">
      <c r="A5" s="7" t="s">
        <v>530</v>
      </c>
      <c r="B5" s="8">
        <f>VLOOKUP(A5,habs,2,0)</f>
        <v>86</v>
      </c>
      <c r="C5" s="7" t="s">
        <v>29</v>
      </c>
      <c r="D5" s="7" t="s">
        <v>33</v>
      </c>
      <c r="E5" s="9">
        <v>31.07</v>
      </c>
      <c r="F5" s="7" t="s">
        <v>179</v>
      </c>
      <c r="G5" s="7" t="s">
        <v>32</v>
      </c>
      <c r="H5" s="7" t="s">
        <v>32</v>
      </c>
      <c r="I5" s="7" t="s">
        <v>31</v>
      </c>
      <c r="J5" s="7" t="s">
        <v>32</v>
      </c>
    </row>
    <row r="6" ht="14.25" customHeight="1">
      <c r="A6" s="7" t="s">
        <v>481</v>
      </c>
      <c r="B6" s="8">
        <f>VLOOKUP(A6,habs,2,0)</f>
        <v>90</v>
      </c>
      <c r="C6" s="7" t="s">
        <v>201</v>
      </c>
      <c r="D6" s="7" t="s">
        <v>203</v>
      </c>
      <c r="E6" s="9">
        <v>33.23</v>
      </c>
      <c r="F6" s="7" t="s">
        <v>175</v>
      </c>
      <c r="G6" s="7" t="s">
        <v>32</v>
      </c>
      <c r="H6" s="7" t="s">
        <v>32</v>
      </c>
      <c r="I6" s="7" t="s">
        <v>16</v>
      </c>
      <c r="J6" s="7" t="s">
        <v>24</v>
      </c>
    </row>
    <row r="7" ht="14.25" customHeight="1">
      <c r="A7" s="7" t="s">
        <v>173</v>
      </c>
      <c r="B7" s="8">
        <f>VLOOKUP(A7,habs,2,0)</f>
        <v>92</v>
      </c>
      <c r="C7" s="7" t="s">
        <v>36</v>
      </c>
      <c r="D7" s="7" t="s">
        <v>40</v>
      </c>
      <c r="E7" s="9">
        <v>41.37</v>
      </c>
      <c r="F7" s="7" t="s">
        <v>175</v>
      </c>
      <c r="G7" s="7" t="s">
        <v>32</v>
      </c>
      <c r="H7" s="7" t="s">
        <v>32</v>
      </c>
      <c r="I7" s="7" t="s">
        <v>32</v>
      </c>
      <c r="J7" s="7" t="s">
        <v>32</v>
      </c>
    </row>
    <row r="8" ht="14.25" customHeight="1">
      <c r="A8" s="7" t="s">
        <v>318</v>
      </c>
      <c r="B8" s="8">
        <f>VLOOKUP(A8,habs,2,0)</f>
        <v>99</v>
      </c>
      <c r="C8" s="7" t="s">
        <v>72</v>
      </c>
      <c r="D8" s="7" t="s">
        <v>76</v>
      </c>
      <c r="E8" s="9">
        <v>38.26</v>
      </c>
      <c r="F8" s="7" t="s">
        <v>146</v>
      </c>
      <c r="G8" s="7" t="s">
        <v>91</v>
      </c>
      <c r="H8" s="7" t="s">
        <v>91</v>
      </c>
      <c r="I8" s="7" t="s">
        <v>91</v>
      </c>
      <c r="J8" s="7" t="s">
        <v>91</v>
      </c>
    </row>
    <row r="9" ht="14.25" customHeight="1">
      <c r="A9" s="7" t="s">
        <v>283</v>
      </c>
      <c r="B9" s="8">
        <f>VLOOKUP(A9,habs,2,0)</f>
        <v>103</v>
      </c>
      <c r="C9" s="7" t="s">
        <v>29</v>
      </c>
      <c r="D9" s="7" t="s">
        <v>33</v>
      </c>
      <c r="E9" s="9">
        <v>52.91</v>
      </c>
      <c r="F9" s="7" t="s">
        <v>179</v>
      </c>
      <c r="G9" s="7" t="s">
        <v>32</v>
      </c>
      <c r="H9" s="7" t="s">
        <v>32</v>
      </c>
      <c r="I9" s="7" t="s">
        <v>31</v>
      </c>
      <c r="J9" s="7" t="s">
        <v>32</v>
      </c>
    </row>
    <row r="10" ht="14.25" customHeight="1">
      <c r="A10" s="7" t="s">
        <v>360</v>
      </c>
      <c r="B10" s="8">
        <f>VLOOKUP(A10,habs,2,0)</f>
        <v>105</v>
      </c>
      <c r="C10" s="7" t="s">
        <v>109</v>
      </c>
      <c r="D10" s="7" t="s">
        <v>203</v>
      </c>
      <c r="E10" s="9">
        <v>40.53</v>
      </c>
      <c r="F10" s="7" t="s">
        <v>111</v>
      </c>
      <c r="G10" s="7" t="s">
        <v>91</v>
      </c>
      <c r="H10" s="7" t="s">
        <v>91</v>
      </c>
      <c r="I10" s="7" t="s">
        <v>91</v>
      </c>
      <c r="J10" s="7" t="s">
        <v>91</v>
      </c>
    </row>
    <row r="11" ht="14.25" customHeight="1">
      <c r="A11" s="7" t="s">
        <v>647</v>
      </c>
      <c r="B11" s="8">
        <f>VLOOKUP(A11,habs,2,0)</f>
        <v>109</v>
      </c>
      <c r="C11" s="7" t="s">
        <v>109</v>
      </c>
      <c r="D11" s="7" t="s">
        <v>112</v>
      </c>
      <c r="E11" s="9">
        <v>18.81</v>
      </c>
      <c r="F11" s="7" t="s">
        <v>111</v>
      </c>
      <c r="G11" s="7" t="s">
        <v>91</v>
      </c>
      <c r="H11" s="7" t="s">
        <v>91</v>
      </c>
      <c r="I11" s="7" t="s">
        <v>91</v>
      </c>
      <c r="J11" s="7" t="s">
        <v>91</v>
      </c>
    </row>
    <row r="12" ht="14.25" customHeight="1">
      <c r="A12" s="7" t="s">
        <v>243</v>
      </c>
      <c r="B12" s="8">
        <f>VLOOKUP(A12,habs,2,0)</f>
        <v>114</v>
      </c>
      <c r="C12" s="7" t="s">
        <v>109</v>
      </c>
      <c r="D12" s="10" t="s">
        <v>203</v>
      </c>
      <c r="E12" s="9">
        <v>50.15</v>
      </c>
      <c r="F12" s="7" t="s">
        <v>111</v>
      </c>
      <c r="G12" s="7" t="s">
        <v>91</v>
      </c>
      <c r="H12" s="7" t="s">
        <v>91</v>
      </c>
      <c r="I12" s="7" t="s">
        <v>91</v>
      </c>
      <c r="J12" s="7" t="s">
        <v>91</v>
      </c>
    </row>
    <row r="13" ht="14.25" customHeight="1">
      <c r="A13" s="7" t="s">
        <v>676</v>
      </c>
      <c r="B13" s="8">
        <f>VLOOKUP(A13,habs,2,0)</f>
        <v>116</v>
      </c>
      <c r="C13" s="7" t="s">
        <v>59</v>
      </c>
      <c r="D13" s="7" t="s">
        <v>62</v>
      </c>
      <c r="E13" s="9">
        <v>57.29</v>
      </c>
      <c r="F13" s="7" t="s">
        <v>58</v>
      </c>
      <c r="G13" s="7" t="s">
        <v>24</v>
      </c>
      <c r="H13" s="7" t="s">
        <v>39</v>
      </c>
      <c r="I13" s="7" t="s">
        <v>61</v>
      </c>
      <c r="J13" s="7" t="s">
        <v>24</v>
      </c>
    </row>
    <row r="14" ht="14.25" customHeight="1">
      <c r="A14" s="7" t="s">
        <v>140</v>
      </c>
      <c r="B14" s="8">
        <f>VLOOKUP(A14,habs,2,0)</f>
        <v>120</v>
      </c>
      <c r="C14" s="11" t="s">
        <v>109</v>
      </c>
      <c r="D14" s="7" t="s">
        <v>112</v>
      </c>
      <c r="E14" s="9">
        <v>14.27</v>
      </c>
      <c r="F14" s="7" t="s">
        <v>91</v>
      </c>
      <c r="G14" s="7" t="s">
        <v>91</v>
      </c>
      <c r="H14" s="7" t="s">
        <v>91</v>
      </c>
      <c r="I14" s="7" t="s">
        <v>91</v>
      </c>
      <c r="J14" s="7" t="s">
        <v>91</v>
      </c>
    </row>
    <row r="15" ht="14.25" customHeight="1">
      <c r="A15" s="7" t="s">
        <v>499</v>
      </c>
      <c r="B15" s="8">
        <f>VLOOKUP(A15,habs,2,0)</f>
        <v>130</v>
      </c>
      <c r="C15" s="7" t="s">
        <v>59</v>
      </c>
      <c r="D15" s="7" t="s">
        <v>62</v>
      </c>
      <c r="E15" s="9">
        <v>4.53</v>
      </c>
      <c r="F15" s="7" t="s">
        <v>58</v>
      </c>
      <c r="G15" s="7" t="s">
        <v>24</v>
      </c>
      <c r="H15" s="7" t="s">
        <v>39</v>
      </c>
      <c r="I15" s="7" t="s">
        <v>39</v>
      </c>
      <c r="J15" s="7" t="s">
        <v>24</v>
      </c>
    </row>
    <row r="16" ht="14.25" customHeight="1">
      <c r="A16" s="7" t="s">
        <v>493</v>
      </c>
      <c r="B16" s="8">
        <f>VLOOKUP(A16,habs,2,0)</f>
        <v>137</v>
      </c>
      <c r="C16" s="7" t="s">
        <v>36</v>
      </c>
      <c r="D16" s="7" t="s">
        <v>40</v>
      </c>
      <c r="E16" s="9">
        <v>52.05</v>
      </c>
      <c r="F16" s="7" t="s">
        <v>175</v>
      </c>
      <c r="G16" s="7" t="s">
        <v>32</v>
      </c>
      <c r="H16" s="7" t="s">
        <v>32</v>
      </c>
      <c r="I16" s="7" t="s">
        <v>32</v>
      </c>
      <c r="J16" s="7" t="s">
        <v>32</v>
      </c>
    </row>
    <row r="17" ht="14.25" customHeight="1">
      <c r="A17" s="7" t="s">
        <v>387</v>
      </c>
      <c r="B17" s="8">
        <f>VLOOKUP(A17,habs,2,0)</f>
        <v>139</v>
      </c>
      <c r="C17" s="7" t="s">
        <v>48</v>
      </c>
      <c r="D17" s="7" t="s">
        <v>50</v>
      </c>
      <c r="E17" s="9">
        <v>28.47</v>
      </c>
      <c r="F17" s="7" t="s">
        <v>160</v>
      </c>
      <c r="G17" s="7" t="s">
        <v>16</v>
      </c>
      <c r="H17" s="7" t="s">
        <v>17</v>
      </c>
      <c r="I17" s="7" t="s">
        <v>17</v>
      </c>
      <c r="J17" s="7" t="s">
        <v>16</v>
      </c>
    </row>
    <row r="18" ht="14.25" customHeight="1">
      <c r="A18" s="7" t="s">
        <v>260</v>
      </c>
      <c r="B18" s="8">
        <f>VLOOKUP(A18,habs,2,0)</f>
        <v>144</v>
      </c>
      <c r="C18" s="7" t="s">
        <v>48</v>
      </c>
      <c r="D18" s="7" t="s">
        <v>50</v>
      </c>
      <c r="E18" s="9">
        <v>18.13</v>
      </c>
      <c r="F18" s="7" t="s">
        <v>223</v>
      </c>
      <c r="G18" s="7" t="s">
        <v>16</v>
      </c>
      <c r="H18" s="7" t="s">
        <v>17</v>
      </c>
      <c r="I18" s="7" t="s">
        <v>188</v>
      </c>
      <c r="J18" s="7" t="s">
        <v>16</v>
      </c>
    </row>
    <row r="19" ht="14.25" customHeight="1">
      <c r="A19" s="7" t="s">
        <v>430</v>
      </c>
      <c r="B19" s="8">
        <f>VLOOKUP(A19,habs,2,0)</f>
        <v>150</v>
      </c>
      <c r="C19" s="7" t="s">
        <v>109</v>
      </c>
      <c r="D19" s="7" t="s">
        <v>112</v>
      </c>
      <c r="E19" s="9">
        <v>48.75</v>
      </c>
      <c r="F19" s="7" t="s">
        <v>146</v>
      </c>
      <c r="G19" s="7" t="s">
        <v>91</v>
      </c>
      <c r="H19" s="7" t="s">
        <v>91</v>
      </c>
      <c r="I19" s="7" t="s">
        <v>91</v>
      </c>
      <c r="J19" s="7" t="s">
        <v>91</v>
      </c>
    </row>
    <row r="20" ht="14.25" customHeight="1">
      <c r="A20" s="7" t="s">
        <v>604</v>
      </c>
      <c r="B20" s="8">
        <f>VLOOKUP(A20,habs,2,0)</f>
        <v>164</v>
      </c>
      <c r="C20" s="7" t="s">
        <v>109</v>
      </c>
      <c r="D20" s="7" t="s">
        <v>203</v>
      </c>
      <c r="E20" s="9">
        <v>149.75</v>
      </c>
      <c r="F20" s="7" t="s">
        <v>91</v>
      </c>
      <c r="G20" s="7" t="s">
        <v>91</v>
      </c>
      <c r="H20" s="7" t="s">
        <v>91</v>
      </c>
      <c r="I20" s="7" t="s">
        <v>91</v>
      </c>
      <c r="J20" s="7" t="s">
        <v>91</v>
      </c>
    </row>
    <row r="21" ht="14.25" customHeight="1">
      <c r="A21" s="7" t="s">
        <v>311</v>
      </c>
      <c r="B21" s="8">
        <f>VLOOKUP(A21,habs,2,0)</f>
        <v>176</v>
      </c>
      <c r="C21" s="7" t="s">
        <v>87</v>
      </c>
      <c r="D21" s="7" t="s">
        <v>92</v>
      </c>
      <c r="E21" s="9">
        <v>51.6</v>
      </c>
      <c r="F21" s="7" t="s">
        <v>313</v>
      </c>
      <c r="G21" s="7" t="s">
        <v>16</v>
      </c>
      <c r="H21" s="7" t="s">
        <v>16</v>
      </c>
      <c r="I21" s="7" t="s">
        <v>16</v>
      </c>
      <c r="J21" s="7" t="s">
        <v>16</v>
      </c>
    </row>
    <row r="22" ht="14.25" customHeight="1">
      <c r="A22" s="7" t="s">
        <v>205</v>
      </c>
      <c r="B22" s="8">
        <f>VLOOKUP(A22,habs,2,0)</f>
        <v>179</v>
      </c>
      <c r="C22" s="7" t="s">
        <v>206</v>
      </c>
      <c r="D22" s="7" t="s">
        <v>209</v>
      </c>
      <c r="E22" s="9">
        <v>28.04</v>
      </c>
      <c r="F22" s="7" t="s">
        <v>208</v>
      </c>
      <c r="G22" s="7" t="s">
        <v>24</v>
      </c>
      <c r="H22" s="7" t="s">
        <v>61</v>
      </c>
      <c r="I22" s="7" t="s">
        <v>61</v>
      </c>
      <c r="J22" s="7" t="s">
        <v>61</v>
      </c>
    </row>
    <row r="23" ht="14.25" customHeight="1">
      <c r="A23" s="7" t="s">
        <v>582</v>
      </c>
      <c r="B23" s="8">
        <f>VLOOKUP(A23,habs,2,0)</f>
        <v>181</v>
      </c>
      <c r="C23" s="7" t="s">
        <v>13</v>
      </c>
      <c r="D23" s="7" t="s">
        <v>18</v>
      </c>
      <c r="E23" s="9">
        <v>14.73</v>
      </c>
      <c r="F23" s="7" t="s">
        <v>15</v>
      </c>
      <c r="G23" s="7" t="s">
        <v>16</v>
      </c>
      <c r="H23" s="7" t="s">
        <v>17</v>
      </c>
      <c r="I23" s="7" t="s">
        <v>17</v>
      </c>
      <c r="J23" s="7" t="s">
        <v>16</v>
      </c>
    </row>
    <row r="24" ht="14.25" customHeight="1">
      <c r="A24" s="7" t="s">
        <v>149</v>
      </c>
      <c r="B24" s="8">
        <f>VLOOKUP(A24,habs,2,0)</f>
        <v>185</v>
      </c>
      <c r="C24" s="7" t="s">
        <v>53</v>
      </c>
      <c r="D24" s="7" t="s">
        <v>56</v>
      </c>
      <c r="E24" s="9">
        <v>18.82</v>
      </c>
      <c r="F24" s="7" t="s">
        <v>74</v>
      </c>
      <c r="G24" s="7" t="s">
        <v>24</v>
      </c>
      <c r="H24" s="7" t="s">
        <v>24</v>
      </c>
      <c r="I24" s="7" t="s">
        <v>75</v>
      </c>
      <c r="J24" s="7" t="s">
        <v>24</v>
      </c>
    </row>
    <row r="25" ht="14.25" customHeight="1">
      <c r="A25" s="7" t="s">
        <v>269</v>
      </c>
      <c r="B25" s="8">
        <f>VLOOKUP(A25,habs,2,0)</f>
        <v>190</v>
      </c>
      <c r="C25" s="7" t="s">
        <v>82</v>
      </c>
      <c r="D25" s="7" t="s">
        <v>26</v>
      </c>
      <c r="E25" s="9">
        <v>41.76</v>
      </c>
      <c r="F25" s="7" t="s">
        <v>74</v>
      </c>
      <c r="G25" s="7" t="s">
        <v>24</v>
      </c>
      <c r="H25" s="7" t="s">
        <v>75</v>
      </c>
      <c r="I25" s="7" t="s">
        <v>75</v>
      </c>
      <c r="J25" s="7" t="s">
        <v>75</v>
      </c>
    </row>
    <row r="26" ht="14.25" customHeight="1">
      <c r="A26" s="7" t="s">
        <v>229</v>
      </c>
      <c r="B26" s="8">
        <f>VLOOKUP(A26,habs,2,0)</f>
        <v>191</v>
      </c>
      <c r="C26" s="7" t="s">
        <v>53</v>
      </c>
      <c r="D26" s="7" t="s">
        <v>56</v>
      </c>
      <c r="E26" s="9">
        <v>31.4</v>
      </c>
      <c r="F26" s="7" t="s">
        <v>68</v>
      </c>
      <c r="G26" s="7" t="s">
        <v>24</v>
      </c>
      <c r="H26" s="7" t="s">
        <v>24</v>
      </c>
      <c r="I26" s="7" t="s">
        <v>24</v>
      </c>
      <c r="J26" s="7" t="s">
        <v>24</v>
      </c>
    </row>
    <row r="27" ht="14.25" customHeight="1">
      <c r="A27" s="7" t="s">
        <v>393</v>
      </c>
      <c r="B27" s="8">
        <f>VLOOKUP(A27,habs,2,0)</f>
        <v>191</v>
      </c>
      <c r="C27" s="7" t="s">
        <v>185</v>
      </c>
      <c r="D27" s="7" t="s">
        <v>189</v>
      </c>
      <c r="E27" s="9">
        <v>53.03</v>
      </c>
      <c r="F27" s="7" t="s">
        <v>227</v>
      </c>
      <c r="G27" s="7" t="s">
        <v>16</v>
      </c>
      <c r="H27" s="7" t="s">
        <v>17</v>
      </c>
      <c r="I27" s="7" t="s">
        <v>188</v>
      </c>
      <c r="J27" s="7" t="s">
        <v>16</v>
      </c>
    </row>
    <row r="28" ht="14.25" customHeight="1">
      <c r="A28" s="7" t="s">
        <v>652</v>
      </c>
      <c r="B28" s="8">
        <f>VLOOKUP(A28,habs,2,0)</f>
        <v>194</v>
      </c>
      <c r="C28" s="7" t="s">
        <v>109</v>
      </c>
      <c r="D28" s="7" t="s">
        <v>112</v>
      </c>
      <c r="E28" s="9">
        <v>25.59</v>
      </c>
      <c r="F28" s="7" t="s">
        <v>91</v>
      </c>
      <c r="G28" s="7" t="s">
        <v>91</v>
      </c>
      <c r="H28" s="7" t="s">
        <v>91</v>
      </c>
      <c r="I28" s="7" t="s">
        <v>91</v>
      </c>
      <c r="J28" s="7" t="s">
        <v>91</v>
      </c>
    </row>
    <row r="29" ht="14.25" customHeight="1">
      <c r="A29" s="7" t="s">
        <v>332</v>
      </c>
      <c r="B29" s="8">
        <f>VLOOKUP(A29,habs,2,0)</f>
        <v>195</v>
      </c>
      <c r="C29" s="7" t="s">
        <v>43</v>
      </c>
      <c r="D29" s="7" t="s">
        <v>40</v>
      </c>
      <c r="E29" s="9">
        <v>74.74</v>
      </c>
      <c r="F29" s="7" t="s">
        <v>32</v>
      </c>
      <c r="G29" s="7" t="s">
        <v>32</v>
      </c>
      <c r="H29" s="7" t="s">
        <v>32</v>
      </c>
      <c r="I29" s="7" t="s">
        <v>32</v>
      </c>
      <c r="J29" s="7" t="s">
        <v>32</v>
      </c>
    </row>
    <row r="30" ht="14.25" customHeight="1">
      <c r="A30" s="7" t="s">
        <v>524</v>
      </c>
      <c r="B30" s="8">
        <f>VLOOKUP(A30,habs,2,0)</f>
        <v>200</v>
      </c>
      <c r="C30" s="7" t="s">
        <v>129</v>
      </c>
      <c r="D30" s="7" t="s">
        <v>132</v>
      </c>
      <c r="E30" s="9">
        <v>11.5</v>
      </c>
      <c r="F30" s="7" t="s">
        <v>162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14.25" customHeight="1">
      <c r="A31" s="7" t="s">
        <v>372</v>
      </c>
      <c r="B31" s="8">
        <f>VLOOKUP(A31,habs,2,0)</f>
        <v>210</v>
      </c>
      <c r="C31" s="7" t="s">
        <v>43</v>
      </c>
      <c r="D31" s="7" t="s">
        <v>40</v>
      </c>
      <c r="E31" s="9">
        <v>10.73</v>
      </c>
      <c r="F31" s="7" t="s">
        <v>374</v>
      </c>
      <c r="G31" s="7" t="s">
        <v>32</v>
      </c>
      <c r="H31" s="7" t="s">
        <v>32</v>
      </c>
      <c r="I31" s="7" t="s">
        <v>32</v>
      </c>
      <c r="J31" s="7" t="s">
        <v>32</v>
      </c>
    </row>
    <row r="32" ht="14.25" customHeight="1">
      <c r="A32" s="7" t="s">
        <v>657</v>
      </c>
      <c r="B32" s="8">
        <f>VLOOKUP(A32,habs,2,0)</f>
        <v>215</v>
      </c>
      <c r="C32" s="7" t="s">
        <v>53</v>
      </c>
      <c r="D32" s="7" t="s">
        <v>56</v>
      </c>
      <c r="E32" s="9">
        <v>9.89</v>
      </c>
      <c r="F32" s="7" t="s">
        <v>23</v>
      </c>
      <c r="G32" s="7" t="s">
        <v>24</v>
      </c>
      <c r="H32" s="7" t="s">
        <v>24</v>
      </c>
      <c r="I32" s="7" t="s">
        <v>23</v>
      </c>
      <c r="J32" s="7" t="s">
        <v>24</v>
      </c>
    </row>
    <row r="33" ht="14.25" customHeight="1">
      <c r="A33" s="7" t="s">
        <v>515</v>
      </c>
      <c r="B33" s="8">
        <f>VLOOKUP(A33,habs,2,0)</f>
        <v>216</v>
      </c>
      <c r="C33" s="7" t="s">
        <v>36</v>
      </c>
      <c r="D33" s="7" t="s">
        <v>40</v>
      </c>
      <c r="E33" s="9">
        <v>126.1</v>
      </c>
      <c r="F33" s="7" t="s">
        <v>175</v>
      </c>
      <c r="G33" s="7" t="s">
        <v>32</v>
      </c>
      <c r="H33" s="7" t="s">
        <v>32</v>
      </c>
      <c r="I33" s="7" t="s">
        <v>32</v>
      </c>
      <c r="J33" s="7" t="s">
        <v>24</v>
      </c>
    </row>
    <row r="34" ht="14.25" customHeight="1">
      <c r="A34" s="7" t="s">
        <v>670</v>
      </c>
      <c r="B34" s="8">
        <f>VLOOKUP(A34,habs,2,0)</f>
        <v>225</v>
      </c>
      <c r="C34" s="7" t="s">
        <v>87</v>
      </c>
      <c r="D34" s="7" t="s">
        <v>92</v>
      </c>
      <c r="E34" s="9">
        <v>28.0</v>
      </c>
      <c r="F34" s="7" t="s">
        <v>402</v>
      </c>
      <c r="G34" s="7" t="s">
        <v>91</v>
      </c>
      <c r="H34" s="7" t="s">
        <v>90</v>
      </c>
      <c r="I34" s="7" t="s">
        <v>90</v>
      </c>
      <c r="J34" s="7" t="s">
        <v>91</v>
      </c>
    </row>
    <row r="35" ht="14.25" customHeight="1">
      <c r="A35" s="7" t="s">
        <v>351</v>
      </c>
      <c r="B35" s="8">
        <f>VLOOKUP(A35,habs,2,0)</f>
        <v>228</v>
      </c>
      <c r="C35" s="7" t="s">
        <v>206</v>
      </c>
      <c r="D35" s="7" t="s">
        <v>209</v>
      </c>
      <c r="E35" s="9">
        <v>121.61</v>
      </c>
      <c r="F35" s="7" t="s">
        <v>208</v>
      </c>
      <c r="G35" s="7" t="s">
        <v>24</v>
      </c>
      <c r="H35" s="7" t="s">
        <v>61</v>
      </c>
      <c r="I35" s="7" t="s">
        <v>61</v>
      </c>
      <c r="J35" s="7" t="s">
        <v>61</v>
      </c>
    </row>
    <row r="36" ht="14.25" customHeight="1">
      <c r="A36" s="7" t="s">
        <v>214</v>
      </c>
      <c r="B36" s="8">
        <f>VLOOKUP(A36,habs,2,0)</f>
        <v>230</v>
      </c>
      <c r="C36" s="7" t="s">
        <v>72</v>
      </c>
      <c r="D36" s="7" t="s">
        <v>76</v>
      </c>
      <c r="E36" s="9">
        <v>48.47</v>
      </c>
      <c r="F36" s="7" t="s">
        <v>216</v>
      </c>
      <c r="G36" s="7" t="s">
        <v>91</v>
      </c>
      <c r="H36" s="7" t="s">
        <v>91</v>
      </c>
      <c r="I36" s="7" t="s">
        <v>91</v>
      </c>
      <c r="J36" s="7" t="s">
        <v>91</v>
      </c>
    </row>
    <row r="37" ht="14.25" customHeight="1">
      <c r="A37" s="7" t="s">
        <v>692</v>
      </c>
      <c r="B37" s="8">
        <f>VLOOKUP(A37,habs,2,0)</f>
        <v>230</v>
      </c>
      <c r="C37" s="7" t="s">
        <v>48</v>
      </c>
      <c r="D37" s="7" t="s">
        <v>50</v>
      </c>
      <c r="E37" s="9">
        <v>24.99</v>
      </c>
      <c r="F37" s="7" t="s">
        <v>160</v>
      </c>
      <c r="G37" s="7" t="s">
        <v>16</v>
      </c>
      <c r="H37" s="7" t="s">
        <v>16</v>
      </c>
      <c r="I37" s="7" t="s">
        <v>16</v>
      </c>
      <c r="J37" s="7" t="s">
        <v>16</v>
      </c>
    </row>
    <row r="38" ht="14.25" customHeight="1">
      <c r="A38" s="7" t="s">
        <v>435</v>
      </c>
      <c r="B38" s="8">
        <f>VLOOKUP(A38,habs,2,0)</f>
        <v>233</v>
      </c>
      <c r="C38" s="7" t="s">
        <v>109</v>
      </c>
      <c r="D38" s="7" t="s">
        <v>112</v>
      </c>
      <c r="E38" s="9">
        <v>17.61</v>
      </c>
      <c r="F38" s="7" t="s">
        <v>91</v>
      </c>
      <c r="G38" s="7" t="s">
        <v>91</v>
      </c>
      <c r="H38" s="7" t="s">
        <v>91</v>
      </c>
      <c r="I38" s="7" t="s">
        <v>91</v>
      </c>
      <c r="J38" s="7" t="s">
        <v>91</v>
      </c>
    </row>
    <row r="39" ht="14.25" customHeight="1">
      <c r="A39" s="7" t="s">
        <v>293</v>
      </c>
      <c r="B39" s="8">
        <f>VLOOKUP(A39,habs,2,0)</f>
        <v>241</v>
      </c>
      <c r="C39" s="7" t="s">
        <v>72</v>
      </c>
      <c r="D39" s="7" t="s">
        <v>76</v>
      </c>
      <c r="E39" s="9">
        <v>54.66</v>
      </c>
      <c r="F39" s="7" t="s">
        <v>146</v>
      </c>
      <c r="G39" s="7" t="s">
        <v>91</v>
      </c>
      <c r="H39" s="7" t="s">
        <v>91</v>
      </c>
      <c r="I39" s="7" t="s">
        <v>91</v>
      </c>
      <c r="J39" s="7" t="s">
        <v>91</v>
      </c>
    </row>
    <row r="40" ht="14.25" customHeight="1">
      <c r="A40" s="7" t="s">
        <v>421</v>
      </c>
      <c r="B40" s="8">
        <f>VLOOKUP(A40,habs,2,0)</f>
        <v>241</v>
      </c>
      <c r="C40" s="7" t="s">
        <v>48</v>
      </c>
      <c r="D40" s="7" t="s">
        <v>50</v>
      </c>
      <c r="E40" s="9">
        <v>9.47</v>
      </c>
      <c r="F40" s="7" t="s">
        <v>47</v>
      </c>
      <c r="G40" s="7" t="s">
        <v>16</v>
      </c>
      <c r="H40" s="7" t="s">
        <v>17</v>
      </c>
      <c r="I40" s="7" t="s">
        <v>188</v>
      </c>
      <c r="J40" s="7" t="s">
        <v>16</v>
      </c>
    </row>
    <row r="41" ht="14.25" customHeight="1">
      <c r="A41" s="7" t="s">
        <v>570</v>
      </c>
      <c r="B41" s="8">
        <f>VLOOKUP(A41,habs,2,0)</f>
        <v>245</v>
      </c>
      <c r="C41" s="7" t="s">
        <v>59</v>
      </c>
      <c r="D41" s="7" t="s">
        <v>62</v>
      </c>
      <c r="E41" s="9">
        <v>73.33</v>
      </c>
      <c r="F41" s="7" t="s">
        <v>365</v>
      </c>
      <c r="G41" s="7" t="s">
        <v>24</v>
      </c>
      <c r="H41" s="7" t="s">
        <v>24</v>
      </c>
      <c r="I41" s="7" t="s">
        <v>24</v>
      </c>
      <c r="J41" s="7" t="s">
        <v>24</v>
      </c>
    </row>
    <row r="42" ht="14.25" customHeight="1">
      <c r="A42" s="7" t="s">
        <v>542</v>
      </c>
      <c r="B42" s="8">
        <f>VLOOKUP(A42,habs,2,0)</f>
        <v>246</v>
      </c>
      <c r="C42" s="7" t="s">
        <v>109</v>
      </c>
      <c r="D42" s="7" t="s">
        <v>203</v>
      </c>
      <c r="E42" s="9">
        <v>39.06</v>
      </c>
      <c r="F42" s="7" t="s">
        <v>111</v>
      </c>
      <c r="G42" s="7" t="s">
        <v>91</v>
      </c>
      <c r="H42" s="7" t="s">
        <v>91</v>
      </c>
      <c r="I42" s="7" t="s">
        <v>91</v>
      </c>
      <c r="J42" s="7" t="s">
        <v>91</v>
      </c>
    </row>
    <row r="43" ht="14.25" customHeight="1">
      <c r="A43" s="7" t="s">
        <v>64</v>
      </c>
      <c r="B43" s="8">
        <f>VLOOKUP(A43,habs,2,0)</f>
        <v>255</v>
      </c>
      <c r="C43" s="7" t="s">
        <v>21</v>
      </c>
      <c r="D43" s="7" t="s">
        <v>26</v>
      </c>
      <c r="E43" s="9">
        <v>79.91</v>
      </c>
      <c r="F43" s="7" t="s">
        <v>66</v>
      </c>
      <c r="G43" s="7" t="s">
        <v>24</v>
      </c>
      <c r="H43" s="7" t="s">
        <v>25</v>
      </c>
      <c r="I43" s="7" t="s">
        <v>23</v>
      </c>
      <c r="J43" s="7" t="s">
        <v>25</v>
      </c>
    </row>
    <row r="44" ht="14.25" customHeight="1">
      <c r="A44" s="7" t="s">
        <v>550</v>
      </c>
      <c r="B44" s="8">
        <f>VLOOKUP(A44,habs,2,0)</f>
        <v>257</v>
      </c>
      <c r="C44" s="7" t="s">
        <v>53</v>
      </c>
      <c r="D44" s="7" t="s">
        <v>56</v>
      </c>
      <c r="E44" s="9">
        <v>33.44</v>
      </c>
      <c r="F44" s="7" t="s">
        <v>55</v>
      </c>
      <c r="G44" s="7" t="s">
        <v>24</v>
      </c>
      <c r="H44" s="7" t="s">
        <v>75</v>
      </c>
      <c r="I44" s="7" t="s">
        <v>24</v>
      </c>
      <c r="J44" s="7" t="s">
        <v>24</v>
      </c>
    </row>
    <row r="45" ht="14.25" customHeight="1">
      <c r="A45" s="7" t="s">
        <v>266</v>
      </c>
      <c r="B45" s="8">
        <f>VLOOKUP(A45,habs,2,0)</f>
        <v>261</v>
      </c>
      <c r="C45" s="7" t="s">
        <v>87</v>
      </c>
      <c r="D45" s="7" t="s">
        <v>92</v>
      </c>
      <c r="E45" s="9">
        <v>44.94</v>
      </c>
      <c r="F45" s="7" t="s">
        <v>89</v>
      </c>
      <c r="G45" s="7" t="s">
        <v>16</v>
      </c>
      <c r="H45" s="7" t="s">
        <v>90</v>
      </c>
      <c r="I45" s="7" t="s">
        <v>90</v>
      </c>
      <c r="J45" s="7" t="s">
        <v>16</v>
      </c>
    </row>
    <row r="46" ht="14.25" customHeight="1">
      <c r="A46" s="7" t="s">
        <v>533</v>
      </c>
      <c r="B46" s="8">
        <f>VLOOKUP(A46,habs,2,0)</f>
        <v>263</v>
      </c>
      <c r="C46" s="7" t="s">
        <v>87</v>
      </c>
      <c r="D46" s="7" t="s">
        <v>92</v>
      </c>
      <c r="E46" s="9">
        <v>12.83</v>
      </c>
      <c r="F46" s="7" t="s">
        <v>343</v>
      </c>
      <c r="G46" s="7" t="s">
        <v>91</v>
      </c>
      <c r="H46" s="7" t="s">
        <v>90</v>
      </c>
      <c r="I46" s="7" t="s">
        <v>90</v>
      </c>
      <c r="J46" s="7" t="s">
        <v>91</v>
      </c>
    </row>
    <row r="47" ht="14.25" customHeight="1">
      <c r="A47" s="7" t="s">
        <v>345</v>
      </c>
      <c r="B47" s="8">
        <f>VLOOKUP(A47,habs,2,0)</f>
        <v>266</v>
      </c>
      <c r="C47" s="7" t="s">
        <v>82</v>
      </c>
      <c r="D47" s="7" t="s">
        <v>26</v>
      </c>
      <c r="E47" s="9">
        <v>41.96</v>
      </c>
      <c r="F47" s="7" t="s">
        <v>74</v>
      </c>
      <c r="G47" s="7" t="s">
        <v>24</v>
      </c>
      <c r="H47" s="7" t="s">
        <v>75</v>
      </c>
      <c r="I47" s="7" t="s">
        <v>75</v>
      </c>
      <c r="J47" s="7" t="s">
        <v>75</v>
      </c>
    </row>
    <row r="48" ht="14.25" customHeight="1">
      <c r="A48" s="7" t="s">
        <v>521</v>
      </c>
      <c r="B48" s="8">
        <f>VLOOKUP(A48,habs,2,0)</f>
        <v>267</v>
      </c>
      <c r="C48" s="7" t="s">
        <v>82</v>
      </c>
      <c r="D48" s="7" t="s">
        <v>26</v>
      </c>
      <c r="E48" s="9">
        <v>33.72</v>
      </c>
      <c r="F48" s="7" t="s">
        <v>74</v>
      </c>
      <c r="G48" s="7" t="s">
        <v>24</v>
      </c>
      <c r="H48" s="7" t="s">
        <v>75</v>
      </c>
      <c r="I48" s="7" t="s">
        <v>23</v>
      </c>
      <c r="J48" s="7" t="s">
        <v>75</v>
      </c>
    </row>
    <row r="49" ht="14.25" customHeight="1">
      <c r="A49" s="7" t="s">
        <v>679</v>
      </c>
      <c r="B49" s="8">
        <f>VLOOKUP(A49,habs,2,0)</f>
        <v>276</v>
      </c>
      <c r="C49" s="7" t="s">
        <v>21</v>
      </c>
      <c r="D49" s="7" t="s">
        <v>26</v>
      </c>
      <c r="E49" s="9">
        <v>46.46</v>
      </c>
      <c r="F49" s="7" t="s">
        <v>23</v>
      </c>
      <c r="G49" s="7" t="s">
        <v>24</v>
      </c>
      <c r="H49" s="7" t="s">
        <v>75</v>
      </c>
      <c r="I49" s="7" t="s">
        <v>23</v>
      </c>
      <c r="J49" s="7" t="s">
        <v>75</v>
      </c>
    </row>
    <row r="50" ht="14.25" customHeight="1">
      <c r="A50" s="7" t="s">
        <v>562</v>
      </c>
      <c r="B50" s="8">
        <f>VLOOKUP(A50,habs,2,0)</f>
        <v>280</v>
      </c>
      <c r="C50" s="7" t="s">
        <v>48</v>
      </c>
      <c r="D50" s="7" t="s">
        <v>50</v>
      </c>
      <c r="E50" s="9">
        <v>83.81</v>
      </c>
      <c r="F50" s="7" t="s">
        <v>45</v>
      </c>
      <c r="G50" s="7" t="s">
        <v>16</v>
      </c>
      <c r="H50" s="7" t="s">
        <v>16</v>
      </c>
      <c r="I50" s="7" t="s">
        <v>17</v>
      </c>
      <c r="J50" s="7" t="s">
        <v>16</v>
      </c>
    </row>
    <row r="51" ht="14.25" customHeight="1">
      <c r="A51" s="7" t="s">
        <v>424</v>
      </c>
      <c r="B51" s="8">
        <f>VLOOKUP(A51,habs,2,0)</f>
        <v>284</v>
      </c>
      <c r="C51" s="7" t="s">
        <v>59</v>
      </c>
      <c r="D51" s="7" t="s">
        <v>62</v>
      </c>
      <c r="E51" s="9">
        <v>33.5</v>
      </c>
      <c r="F51" s="7" t="s">
        <v>58</v>
      </c>
      <c r="G51" s="7" t="s">
        <v>24</v>
      </c>
      <c r="H51" s="7" t="s">
        <v>39</v>
      </c>
      <c r="I51" s="7" t="s">
        <v>39</v>
      </c>
      <c r="J51" s="7" t="s">
        <v>24</v>
      </c>
    </row>
    <row r="52" ht="14.25" customHeight="1">
      <c r="A52" s="7" t="s">
        <v>565</v>
      </c>
      <c r="B52" s="8">
        <f>VLOOKUP(A52,habs,2,0)</f>
        <v>284</v>
      </c>
      <c r="C52" s="7" t="s">
        <v>82</v>
      </c>
      <c r="D52" s="7" t="s">
        <v>56</v>
      </c>
      <c r="E52" s="9">
        <v>39.68</v>
      </c>
      <c r="F52" s="7" t="s">
        <v>74</v>
      </c>
      <c r="G52" s="7" t="s">
        <v>24</v>
      </c>
      <c r="H52" s="7" t="s">
        <v>75</v>
      </c>
      <c r="I52" s="7" t="s">
        <v>24</v>
      </c>
      <c r="J52" s="7" t="s">
        <v>75</v>
      </c>
    </row>
    <row r="53" ht="14.25" customHeight="1">
      <c r="A53" s="7" t="s">
        <v>81</v>
      </c>
      <c r="B53" s="8">
        <f>VLOOKUP(A53,habs,2,0)</f>
        <v>297</v>
      </c>
      <c r="C53" s="7" t="s">
        <v>82</v>
      </c>
      <c r="D53" s="7" t="s">
        <v>26</v>
      </c>
      <c r="E53" s="9">
        <v>37.85</v>
      </c>
      <c r="F53" s="7" t="s">
        <v>84</v>
      </c>
      <c r="G53" s="7" t="s">
        <v>24</v>
      </c>
      <c r="H53" s="7" t="s">
        <v>75</v>
      </c>
      <c r="I53" s="7" t="s">
        <v>75</v>
      </c>
      <c r="J53" s="7" t="s">
        <v>75</v>
      </c>
    </row>
    <row r="54" ht="14.25" customHeight="1">
      <c r="A54" s="7" t="s">
        <v>487</v>
      </c>
      <c r="B54" s="8">
        <f>VLOOKUP(A54,habs,2,0)</f>
        <v>298</v>
      </c>
      <c r="C54" s="7" t="s">
        <v>72</v>
      </c>
      <c r="D54" s="7" t="s">
        <v>76</v>
      </c>
      <c r="E54" s="9">
        <v>61.89</v>
      </c>
      <c r="F54" s="7" t="s">
        <v>146</v>
      </c>
      <c r="G54" s="7" t="s">
        <v>91</v>
      </c>
      <c r="H54" s="7" t="s">
        <v>91</v>
      </c>
      <c r="I54" s="7" t="s">
        <v>91</v>
      </c>
      <c r="J54" s="7" t="s">
        <v>91</v>
      </c>
    </row>
    <row r="55" ht="14.25" customHeight="1">
      <c r="A55" s="7" t="s">
        <v>472</v>
      </c>
      <c r="B55" s="8">
        <f>VLOOKUP(A55,habs,2,0)</f>
        <v>299</v>
      </c>
      <c r="C55" s="7" t="s">
        <v>48</v>
      </c>
      <c r="D55" s="7" t="s">
        <v>50</v>
      </c>
      <c r="E55" s="9">
        <v>88.73</v>
      </c>
      <c r="F55" s="7" t="s">
        <v>160</v>
      </c>
      <c r="G55" s="7" t="s">
        <v>16</v>
      </c>
      <c r="H55" s="7" t="s">
        <v>16</v>
      </c>
      <c r="I55" s="7" t="s">
        <v>16</v>
      </c>
      <c r="J55" s="7" t="s">
        <v>16</v>
      </c>
    </row>
    <row r="56" ht="14.25" customHeight="1">
      <c r="A56" s="7" t="s">
        <v>556</v>
      </c>
      <c r="B56" s="8">
        <f>VLOOKUP(A56,habs,2,0)</f>
        <v>301</v>
      </c>
      <c r="C56" s="7" t="s">
        <v>53</v>
      </c>
      <c r="D56" s="7" t="s">
        <v>56</v>
      </c>
      <c r="E56" s="9">
        <v>34.98</v>
      </c>
      <c r="F56" s="7" t="s">
        <v>74</v>
      </c>
      <c r="G56" s="7" t="s">
        <v>24</v>
      </c>
      <c r="H56" s="7" t="s">
        <v>75</v>
      </c>
      <c r="I56" s="7" t="s">
        <v>75</v>
      </c>
      <c r="J56" s="7" t="s">
        <v>75</v>
      </c>
    </row>
    <row r="57" ht="14.25" customHeight="1">
      <c r="A57" s="7" t="s">
        <v>595</v>
      </c>
      <c r="B57" s="8">
        <f>VLOOKUP(A57,habs,2,0)</f>
        <v>302</v>
      </c>
      <c r="C57" s="7" t="s">
        <v>87</v>
      </c>
      <c r="D57" s="7" t="s">
        <v>92</v>
      </c>
      <c r="E57" s="9">
        <v>21.33</v>
      </c>
      <c r="F57" s="7" t="s">
        <v>402</v>
      </c>
      <c r="G57" s="7" t="s">
        <v>91</v>
      </c>
      <c r="H57" s="7" t="s">
        <v>90</v>
      </c>
      <c r="I57" s="7" t="s">
        <v>90</v>
      </c>
      <c r="J57" s="7" t="s">
        <v>91</v>
      </c>
    </row>
    <row r="58" ht="14.25" customHeight="1">
      <c r="A58" s="7" t="s">
        <v>644</v>
      </c>
      <c r="B58" s="8">
        <f>VLOOKUP(A58,habs,2,0)</f>
        <v>311</v>
      </c>
      <c r="C58" s="7" t="s">
        <v>129</v>
      </c>
      <c r="D58" s="7" t="s">
        <v>132</v>
      </c>
      <c r="E58" s="9">
        <v>8.1</v>
      </c>
      <c r="F58" s="7" t="s">
        <v>131</v>
      </c>
      <c r="G58" s="7" t="s">
        <v>16</v>
      </c>
      <c r="H58" s="7" t="s">
        <v>16</v>
      </c>
      <c r="I58" s="7" t="s">
        <v>16</v>
      </c>
      <c r="J58" s="7" t="s">
        <v>16</v>
      </c>
    </row>
    <row r="59" ht="14.25" customHeight="1">
      <c r="A59" s="7" t="s">
        <v>539</v>
      </c>
      <c r="B59" s="8">
        <f>VLOOKUP(A59,habs,2,0)</f>
        <v>312</v>
      </c>
      <c r="C59" s="7" t="s">
        <v>72</v>
      </c>
      <c r="D59" s="7" t="s">
        <v>76</v>
      </c>
      <c r="E59" s="9">
        <v>61.74</v>
      </c>
      <c r="F59" s="7" t="s">
        <v>252</v>
      </c>
      <c r="G59" s="7" t="s">
        <v>91</v>
      </c>
      <c r="H59" s="7" t="s">
        <v>91</v>
      </c>
      <c r="I59" s="7" t="s">
        <v>75</v>
      </c>
      <c r="J59" s="7" t="s">
        <v>91</v>
      </c>
    </row>
    <row r="60" ht="14.25" customHeight="1">
      <c r="A60" s="7" t="s">
        <v>327</v>
      </c>
      <c r="B60" s="8">
        <f>VLOOKUP(A60,habs,2,0)</f>
        <v>316</v>
      </c>
      <c r="C60" s="7" t="s">
        <v>48</v>
      </c>
      <c r="D60" s="7" t="s">
        <v>50</v>
      </c>
      <c r="E60" s="9">
        <v>14.94</v>
      </c>
      <c r="F60" s="7" t="s">
        <v>15</v>
      </c>
      <c r="G60" s="7" t="s">
        <v>16</v>
      </c>
      <c r="H60" s="7" t="s">
        <v>17</v>
      </c>
      <c r="I60" s="7" t="s">
        <v>17</v>
      </c>
      <c r="J60" s="7" t="s">
        <v>16</v>
      </c>
    </row>
    <row r="61" ht="14.25" customHeight="1">
      <c r="A61" s="7" t="s">
        <v>559</v>
      </c>
      <c r="B61" s="8">
        <f>VLOOKUP(A61,habs,2,0)</f>
        <v>319</v>
      </c>
      <c r="C61" s="7" t="s">
        <v>82</v>
      </c>
      <c r="D61" s="7" t="s">
        <v>26</v>
      </c>
      <c r="E61" s="9">
        <v>44.59</v>
      </c>
      <c r="F61" s="7" t="s">
        <v>74</v>
      </c>
      <c r="G61" s="7" t="s">
        <v>24</v>
      </c>
      <c r="H61" s="7" t="s">
        <v>75</v>
      </c>
      <c r="I61" s="7" t="s">
        <v>23</v>
      </c>
      <c r="J61" s="7" t="s">
        <v>75</v>
      </c>
    </row>
    <row r="62" ht="14.25" customHeight="1">
      <c r="A62" s="7" t="s">
        <v>232</v>
      </c>
      <c r="B62" s="8">
        <f>VLOOKUP(A62,habs,2,0)</f>
        <v>321</v>
      </c>
      <c r="C62" s="7" t="s">
        <v>36</v>
      </c>
      <c r="D62" s="7" t="s">
        <v>40</v>
      </c>
      <c r="E62" s="9">
        <v>31.15</v>
      </c>
      <c r="F62" s="7" t="s">
        <v>32</v>
      </c>
      <c r="G62" s="7" t="s">
        <v>32</v>
      </c>
      <c r="H62" s="7" t="s">
        <v>32</v>
      </c>
      <c r="I62" s="7" t="s">
        <v>32</v>
      </c>
      <c r="J62" s="7" t="s">
        <v>32</v>
      </c>
    </row>
    <row r="63" ht="14.25" customHeight="1">
      <c r="A63" s="7" t="s">
        <v>354</v>
      </c>
      <c r="B63" s="8">
        <f>VLOOKUP(A63,habs,2,0)</f>
        <v>321</v>
      </c>
      <c r="C63" s="7" t="s">
        <v>206</v>
      </c>
      <c r="D63" s="7" t="s">
        <v>209</v>
      </c>
      <c r="E63" s="9">
        <v>113.72</v>
      </c>
      <c r="F63" s="7" t="s">
        <v>356</v>
      </c>
      <c r="G63" s="7" t="s">
        <v>24</v>
      </c>
      <c r="H63" s="7" t="s">
        <v>61</v>
      </c>
      <c r="I63" s="7" t="s">
        <v>61</v>
      </c>
      <c r="J63" s="7" t="s">
        <v>61</v>
      </c>
    </row>
    <row r="64" ht="14.25" customHeight="1">
      <c r="A64" s="7" t="s">
        <v>12</v>
      </c>
      <c r="B64" s="8">
        <f>VLOOKUP(A64,habs,2,0)</f>
        <v>338</v>
      </c>
      <c r="C64" s="7" t="s">
        <v>13</v>
      </c>
      <c r="D64" s="7" t="s">
        <v>18</v>
      </c>
      <c r="E64" s="9">
        <v>45.07</v>
      </c>
      <c r="F64" s="7" t="s">
        <v>15</v>
      </c>
      <c r="G64" s="7" t="s">
        <v>16</v>
      </c>
      <c r="H64" s="7" t="s">
        <v>17</v>
      </c>
      <c r="I64" s="7" t="s">
        <v>17</v>
      </c>
      <c r="J64" s="7" t="s">
        <v>16</v>
      </c>
    </row>
    <row r="65" ht="14.25" customHeight="1">
      <c r="A65" s="7" t="s">
        <v>654</v>
      </c>
      <c r="B65" s="8">
        <f>VLOOKUP(A65,habs,2,0)</f>
        <v>339</v>
      </c>
      <c r="C65" s="7" t="s">
        <v>72</v>
      </c>
      <c r="D65" s="7" t="s">
        <v>76</v>
      </c>
      <c r="E65" s="9">
        <v>72.9</v>
      </c>
      <c r="F65" s="7" t="s">
        <v>216</v>
      </c>
      <c r="G65" s="7" t="s">
        <v>91</v>
      </c>
      <c r="H65" s="7" t="s">
        <v>91</v>
      </c>
      <c r="I65" s="7" t="s">
        <v>91</v>
      </c>
      <c r="J65" s="7" t="s">
        <v>91</v>
      </c>
    </row>
    <row r="66" ht="14.25" customHeight="1">
      <c r="A66" s="7" t="s">
        <v>165</v>
      </c>
      <c r="B66" s="8">
        <f>VLOOKUP(A66,habs,2,0)</f>
        <v>341</v>
      </c>
      <c r="C66" s="7" t="s">
        <v>129</v>
      </c>
      <c r="D66" s="7" t="s">
        <v>132</v>
      </c>
      <c r="E66" s="9">
        <v>6.62</v>
      </c>
      <c r="F66" s="7" t="s">
        <v>131</v>
      </c>
      <c r="G66" s="7" t="s">
        <v>16</v>
      </c>
      <c r="H66" s="7" t="s">
        <v>16</v>
      </c>
      <c r="I66" s="7" t="s">
        <v>16</v>
      </c>
      <c r="J66" s="7" t="s">
        <v>16</v>
      </c>
    </row>
    <row r="67" ht="14.25" customHeight="1">
      <c r="A67" s="7" t="s">
        <v>249</v>
      </c>
      <c r="B67" s="8">
        <f>VLOOKUP(A67,habs,2,0)</f>
        <v>343</v>
      </c>
      <c r="C67" s="7" t="s">
        <v>36</v>
      </c>
      <c r="D67" s="7" t="s">
        <v>40</v>
      </c>
      <c r="E67" s="9">
        <v>61.97</v>
      </c>
      <c r="F67" s="7" t="s">
        <v>32</v>
      </c>
      <c r="G67" s="7" t="s">
        <v>32</v>
      </c>
      <c r="H67" s="7" t="s">
        <v>32</v>
      </c>
      <c r="I67" s="7" t="s">
        <v>32</v>
      </c>
      <c r="J67" s="7" t="s">
        <v>32</v>
      </c>
    </row>
    <row r="68" ht="14.25" customHeight="1">
      <c r="A68" s="7" t="s">
        <v>158</v>
      </c>
      <c r="B68" s="8">
        <f>VLOOKUP(A68,habs,2,0)</f>
        <v>344</v>
      </c>
      <c r="C68" s="7" t="s">
        <v>48</v>
      </c>
      <c r="D68" s="7" t="s">
        <v>50</v>
      </c>
      <c r="E68" s="9">
        <v>33.55</v>
      </c>
      <c r="F68" s="7" t="s">
        <v>160</v>
      </c>
      <c r="G68" s="7" t="s">
        <v>16</v>
      </c>
      <c r="H68" s="7" t="s">
        <v>16</v>
      </c>
      <c r="I68" s="7" t="s">
        <v>16</v>
      </c>
      <c r="J68" s="7" t="s">
        <v>16</v>
      </c>
    </row>
    <row r="69" ht="14.25" customHeight="1">
      <c r="A69" s="7" t="s">
        <v>302</v>
      </c>
      <c r="B69" s="8">
        <f>VLOOKUP(A69,habs,2,0)</f>
        <v>353</v>
      </c>
      <c r="C69" s="7" t="s">
        <v>13</v>
      </c>
      <c r="D69" s="7" t="s">
        <v>18</v>
      </c>
      <c r="E69" s="9">
        <v>24.07</v>
      </c>
      <c r="F69" s="7" t="s">
        <v>17</v>
      </c>
      <c r="G69" s="7" t="s">
        <v>16</v>
      </c>
      <c r="H69" s="7" t="s">
        <v>17</v>
      </c>
      <c r="I69" s="7" t="s">
        <v>17</v>
      </c>
      <c r="J69" s="7" t="s">
        <v>16</v>
      </c>
    </row>
    <row r="70" ht="14.25" customHeight="1">
      <c r="A70" s="7" t="s">
        <v>536</v>
      </c>
      <c r="B70" s="8">
        <f>VLOOKUP(A70,habs,2,0)</f>
        <v>356</v>
      </c>
      <c r="C70" s="7" t="s">
        <v>82</v>
      </c>
      <c r="D70" s="7" t="s">
        <v>26</v>
      </c>
      <c r="E70" s="9">
        <v>44.78</v>
      </c>
      <c r="F70" s="7" t="s">
        <v>74</v>
      </c>
      <c r="G70" s="7" t="s">
        <v>24</v>
      </c>
      <c r="H70" s="7" t="s">
        <v>75</v>
      </c>
      <c r="I70" s="7" t="s">
        <v>75</v>
      </c>
      <c r="J70" s="7" t="s">
        <v>75</v>
      </c>
    </row>
    <row r="71" ht="14.25" customHeight="1">
      <c r="A71" s="7" t="s">
        <v>454</v>
      </c>
      <c r="B71" s="8">
        <f>VLOOKUP(A71,habs,2,0)</f>
        <v>358</v>
      </c>
      <c r="C71" s="7" t="s">
        <v>43</v>
      </c>
      <c r="D71" s="7" t="s">
        <v>40</v>
      </c>
      <c r="E71" s="9">
        <v>16.23</v>
      </c>
      <c r="F71" s="7" t="s">
        <v>32</v>
      </c>
      <c r="G71" s="7" t="s">
        <v>32</v>
      </c>
      <c r="H71" s="7" t="s">
        <v>32</v>
      </c>
      <c r="I71" s="7" t="s">
        <v>32</v>
      </c>
      <c r="J71" s="7" t="s">
        <v>32</v>
      </c>
    </row>
    <row r="72" ht="14.25" customHeight="1">
      <c r="A72" s="7" t="s">
        <v>573</v>
      </c>
      <c r="B72" s="8">
        <f>VLOOKUP(A72,habs,2,0)</f>
        <v>361</v>
      </c>
      <c r="C72" s="7" t="s">
        <v>29</v>
      </c>
      <c r="D72" s="7" t="s">
        <v>33</v>
      </c>
      <c r="E72" s="9">
        <v>99.07</v>
      </c>
      <c r="F72" s="7" t="s">
        <v>179</v>
      </c>
      <c r="G72" s="7" t="s">
        <v>32</v>
      </c>
      <c r="H72" s="7" t="s">
        <v>32</v>
      </c>
      <c r="I72" s="7" t="s">
        <v>31</v>
      </c>
      <c r="J72" s="7" t="s">
        <v>32</v>
      </c>
    </row>
    <row r="73" ht="14.25" customHeight="1">
      <c r="A73" s="7" t="s">
        <v>96</v>
      </c>
      <c r="B73" s="8">
        <f>VLOOKUP(A73,habs,2,0)</f>
        <v>362</v>
      </c>
      <c r="C73" s="7" t="s">
        <v>43</v>
      </c>
      <c r="D73" s="7" t="s">
        <v>40</v>
      </c>
      <c r="E73" s="9">
        <v>11.75</v>
      </c>
      <c r="F73" s="7" t="s">
        <v>98</v>
      </c>
      <c r="G73" s="7" t="s">
        <v>16</v>
      </c>
      <c r="H73" s="7" t="s">
        <v>16</v>
      </c>
      <c r="I73" s="7" t="s">
        <v>16</v>
      </c>
      <c r="J73" s="7" t="s">
        <v>16</v>
      </c>
    </row>
    <row r="74" ht="14.25" customHeight="1">
      <c r="A74" s="7" t="s">
        <v>324</v>
      </c>
      <c r="B74" s="8">
        <f>VLOOKUP(A74,habs,2,0)</f>
        <v>364</v>
      </c>
      <c r="C74" s="7" t="s">
        <v>109</v>
      </c>
      <c r="D74" s="7" t="s">
        <v>112</v>
      </c>
      <c r="E74" s="9">
        <v>78.59</v>
      </c>
      <c r="F74" s="7" t="s">
        <v>91</v>
      </c>
      <c r="G74" s="7" t="s">
        <v>91</v>
      </c>
      <c r="H74" s="7" t="s">
        <v>91</v>
      </c>
      <c r="I74" s="7" t="s">
        <v>91</v>
      </c>
      <c r="J74" s="7" t="s">
        <v>91</v>
      </c>
    </row>
    <row r="75" ht="14.25" customHeight="1">
      <c r="A75" s="7" t="s">
        <v>308</v>
      </c>
      <c r="B75" s="8">
        <f>VLOOKUP(A75,habs,2,0)</f>
        <v>371</v>
      </c>
      <c r="C75" s="7" t="s">
        <v>13</v>
      </c>
      <c r="D75" s="7" t="s">
        <v>18</v>
      </c>
      <c r="E75" s="9">
        <v>20.87</v>
      </c>
      <c r="F75" s="7" t="s">
        <v>15</v>
      </c>
      <c r="G75" s="7" t="s">
        <v>16</v>
      </c>
      <c r="H75" s="7" t="s">
        <v>17</v>
      </c>
      <c r="I75" s="7" t="s">
        <v>17</v>
      </c>
      <c r="J75" s="7" t="s">
        <v>16</v>
      </c>
    </row>
    <row r="76" ht="14.25" customHeight="1">
      <c r="A76" s="7" t="s">
        <v>128</v>
      </c>
      <c r="B76" s="8">
        <f>VLOOKUP(A76,habs,2,0)</f>
        <v>373</v>
      </c>
      <c r="C76" s="7" t="s">
        <v>129</v>
      </c>
      <c r="D76" s="7" t="s">
        <v>132</v>
      </c>
      <c r="E76" s="9">
        <v>21.29</v>
      </c>
      <c r="F76" s="7" t="s">
        <v>131</v>
      </c>
      <c r="G76" s="7" t="s">
        <v>16</v>
      </c>
      <c r="H76" s="7" t="s">
        <v>16</v>
      </c>
      <c r="I76" s="7" t="s">
        <v>16</v>
      </c>
      <c r="J76" s="7" t="s">
        <v>16</v>
      </c>
    </row>
    <row r="77" ht="14.25" customHeight="1">
      <c r="A77" s="7" t="s">
        <v>512</v>
      </c>
      <c r="B77" s="8">
        <f>VLOOKUP(A77,habs,2,0)</f>
        <v>373</v>
      </c>
      <c r="C77" s="7" t="s">
        <v>36</v>
      </c>
      <c r="D77" s="7" t="s">
        <v>40</v>
      </c>
      <c r="E77" s="9">
        <v>100.54</v>
      </c>
      <c r="F77" s="7" t="s">
        <v>175</v>
      </c>
      <c r="G77" s="7" t="s">
        <v>32</v>
      </c>
      <c r="H77" s="7" t="s">
        <v>32</v>
      </c>
      <c r="I77" s="7" t="s">
        <v>32</v>
      </c>
      <c r="J77" s="7" t="s">
        <v>32</v>
      </c>
    </row>
    <row r="78" ht="14.25" customHeight="1">
      <c r="A78" s="7" t="s">
        <v>20</v>
      </c>
      <c r="B78" s="8">
        <f>VLOOKUP(A78,habs,2,0)</f>
        <v>377</v>
      </c>
      <c r="C78" s="7" t="s">
        <v>21</v>
      </c>
      <c r="D78" s="7" t="s">
        <v>26</v>
      </c>
      <c r="E78" s="9">
        <v>62.7</v>
      </c>
      <c r="F78" s="7" t="s">
        <v>23</v>
      </c>
      <c r="G78" s="7" t="s">
        <v>24</v>
      </c>
      <c r="H78" s="7" t="s">
        <v>25</v>
      </c>
      <c r="I78" s="7" t="s">
        <v>23</v>
      </c>
      <c r="J78" s="7" t="s">
        <v>25</v>
      </c>
    </row>
    <row r="79" ht="14.25" customHeight="1">
      <c r="A79" s="7" t="s">
        <v>341</v>
      </c>
      <c r="B79" s="8">
        <f>VLOOKUP(A79,habs,2,0)</f>
        <v>378</v>
      </c>
      <c r="C79" s="7" t="s">
        <v>87</v>
      </c>
      <c r="D79" s="7" t="s">
        <v>92</v>
      </c>
      <c r="E79" s="9">
        <v>34.54</v>
      </c>
      <c r="F79" s="7" t="s">
        <v>343</v>
      </c>
      <c r="G79" s="7" t="s">
        <v>91</v>
      </c>
      <c r="H79" s="7" t="s">
        <v>90</v>
      </c>
      <c r="I79" s="7" t="s">
        <v>90</v>
      </c>
      <c r="J79" s="7" t="s">
        <v>91</v>
      </c>
    </row>
    <row r="80" ht="14.25" customHeight="1">
      <c r="A80" s="7" t="s">
        <v>682</v>
      </c>
      <c r="B80" s="8">
        <f>VLOOKUP(A80,habs,2,0)</f>
        <v>379</v>
      </c>
      <c r="C80" s="7" t="s">
        <v>29</v>
      </c>
      <c r="D80" s="7" t="s">
        <v>33</v>
      </c>
      <c r="E80" s="9">
        <v>73.08</v>
      </c>
      <c r="F80" s="7" t="s">
        <v>31</v>
      </c>
      <c r="G80" s="7" t="s">
        <v>32</v>
      </c>
      <c r="H80" s="7" t="s">
        <v>32</v>
      </c>
      <c r="I80" s="7" t="s">
        <v>31</v>
      </c>
      <c r="J80" s="7" t="s">
        <v>32</v>
      </c>
    </row>
    <row r="81" ht="14.25" customHeight="1">
      <c r="A81" s="7" t="s">
        <v>462</v>
      </c>
      <c r="B81" s="8">
        <f>VLOOKUP(A81,habs,2,0)</f>
        <v>383</v>
      </c>
      <c r="C81" s="7" t="s">
        <v>72</v>
      </c>
      <c r="D81" s="7" t="s">
        <v>76</v>
      </c>
      <c r="E81" s="9">
        <v>55.52</v>
      </c>
      <c r="F81" s="7" t="s">
        <v>252</v>
      </c>
      <c r="G81" s="7" t="s">
        <v>91</v>
      </c>
      <c r="H81" s="7" t="s">
        <v>91</v>
      </c>
      <c r="I81" s="7" t="s">
        <v>91</v>
      </c>
      <c r="J81" s="7" t="s">
        <v>91</v>
      </c>
    </row>
    <row r="82" ht="14.25" customHeight="1">
      <c r="A82" s="7" t="s">
        <v>695</v>
      </c>
      <c r="B82" s="8">
        <f>VLOOKUP(A82,habs,2,0)</f>
        <v>383</v>
      </c>
      <c r="C82" s="7" t="s">
        <v>29</v>
      </c>
      <c r="D82" s="7" t="s">
        <v>33</v>
      </c>
      <c r="E82" s="9">
        <v>46.82</v>
      </c>
      <c r="F82" s="7" t="s">
        <v>179</v>
      </c>
      <c r="G82" s="7" t="s">
        <v>32</v>
      </c>
      <c r="H82" s="7" t="s">
        <v>32</v>
      </c>
      <c r="I82" s="7" t="s">
        <v>31</v>
      </c>
      <c r="J82" s="7" t="s">
        <v>32</v>
      </c>
    </row>
    <row r="83" ht="14.25" customHeight="1">
      <c r="A83" s="7" t="s">
        <v>363</v>
      </c>
      <c r="B83" s="8">
        <f>VLOOKUP(A83,habs,2,0)</f>
        <v>391</v>
      </c>
      <c r="C83" s="7" t="s">
        <v>59</v>
      </c>
      <c r="D83" s="7" t="s">
        <v>62</v>
      </c>
      <c r="E83" s="9">
        <v>63.45</v>
      </c>
      <c r="F83" s="7" t="s">
        <v>365</v>
      </c>
      <c r="G83" s="7" t="s">
        <v>24</v>
      </c>
      <c r="H83" s="7" t="s">
        <v>24</v>
      </c>
      <c r="I83" s="7" t="s">
        <v>24</v>
      </c>
      <c r="J83" s="7" t="s">
        <v>24</v>
      </c>
    </row>
    <row r="84" ht="14.25" customHeight="1">
      <c r="A84" s="7" t="s">
        <v>143</v>
      </c>
      <c r="B84" s="8">
        <f>VLOOKUP(A84,habs,2,0)</f>
        <v>396</v>
      </c>
      <c r="C84" s="7" t="s">
        <v>72</v>
      </c>
      <c r="D84" s="7" t="s">
        <v>76</v>
      </c>
      <c r="E84" s="9">
        <v>133.59</v>
      </c>
      <c r="F84" s="7" t="s">
        <v>143</v>
      </c>
      <c r="G84" s="7" t="s">
        <v>24</v>
      </c>
      <c r="H84" s="7" t="s">
        <v>25</v>
      </c>
      <c r="I84" s="7" t="s">
        <v>75</v>
      </c>
      <c r="J84" s="7" t="s">
        <v>25</v>
      </c>
    </row>
    <row r="85" ht="14.25" customHeight="1">
      <c r="A85" s="7" t="s">
        <v>155</v>
      </c>
      <c r="B85" s="8">
        <f>VLOOKUP(A85,habs,2,0)</f>
        <v>400</v>
      </c>
      <c r="C85" s="7" t="s">
        <v>72</v>
      </c>
      <c r="D85" s="7" t="s">
        <v>76</v>
      </c>
      <c r="E85" s="9">
        <v>105.27</v>
      </c>
      <c r="F85" s="7" t="s">
        <v>143</v>
      </c>
      <c r="G85" s="7" t="s">
        <v>24</v>
      </c>
      <c r="H85" s="7" t="s">
        <v>25</v>
      </c>
      <c r="I85" s="7" t="s">
        <v>75</v>
      </c>
      <c r="J85" s="7" t="s">
        <v>25</v>
      </c>
    </row>
    <row r="86" ht="14.25" customHeight="1">
      <c r="A86" s="7" t="s">
        <v>225</v>
      </c>
      <c r="B86" s="8">
        <f>VLOOKUP(A86,habs,2,0)</f>
        <v>404</v>
      </c>
      <c r="C86" s="7" t="s">
        <v>185</v>
      </c>
      <c r="D86" s="7" t="s">
        <v>189</v>
      </c>
      <c r="E86" s="9">
        <v>20.75</v>
      </c>
      <c r="F86" s="7" t="s">
        <v>227</v>
      </c>
      <c r="G86" s="7" t="s">
        <v>16</v>
      </c>
      <c r="H86" s="7" t="s">
        <v>17</v>
      </c>
      <c r="I86" s="7" t="s">
        <v>188</v>
      </c>
      <c r="J86" s="7" t="s">
        <v>16</v>
      </c>
    </row>
    <row r="87" ht="14.25" customHeight="1">
      <c r="A87" s="7" t="s">
        <v>587</v>
      </c>
      <c r="B87" s="8">
        <f>VLOOKUP(A87,habs,2,0)</f>
        <v>405</v>
      </c>
      <c r="C87" s="7" t="s">
        <v>109</v>
      </c>
      <c r="D87" s="7" t="s">
        <v>203</v>
      </c>
      <c r="E87" s="9">
        <v>124.15</v>
      </c>
      <c r="F87" s="7" t="s">
        <v>111</v>
      </c>
      <c r="G87" s="7" t="s">
        <v>91</v>
      </c>
      <c r="H87" s="7" t="s">
        <v>91</v>
      </c>
      <c r="I87" s="7" t="s">
        <v>91</v>
      </c>
      <c r="J87" s="7" t="s">
        <v>91</v>
      </c>
    </row>
    <row r="88" ht="14.25" customHeight="1">
      <c r="A88" s="7" t="s">
        <v>475</v>
      </c>
      <c r="B88" s="8">
        <f>VLOOKUP(A88,habs,2,0)</f>
        <v>406</v>
      </c>
      <c r="C88" s="7" t="s">
        <v>48</v>
      </c>
      <c r="D88" s="7" t="s">
        <v>50</v>
      </c>
      <c r="E88" s="9">
        <v>20.27</v>
      </c>
      <c r="F88" s="7" t="s">
        <v>47</v>
      </c>
      <c r="G88" s="7" t="s">
        <v>16</v>
      </c>
      <c r="H88" s="7" t="s">
        <v>17</v>
      </c>
      <c r="I88" s="7" t="s">
        <v>188</v>
      </c>
      <c r="J88" s="7" t="s">
        <v>16</v>
      </c>
    </row>
    <row r="89" ht="14.25" customHeight="1">
      <c r="A89" s="7" t="s">
        <v>348</v>
      </c>
      <c r="B89" s="8">
        <f>VLOOKUP(A89,habs,2,0)</f>
        <v>416</v>
      </c>
      <c r="C89" s="7" t="s">
        <v>29</v>
      </c>
      <c r="D89" s="7" t="s">
        <v>33</v>
      </c>
      <c r="E89" s="9">
        <v>35.75</v>
      </c>
      <c r="F89" s="7" t="s">
        <v>45</v>
      </c>
      <c r="G89" s="7" t="s">
        <v>16</v>
      </c>
      <c r="H89" s="7" t="s">
        <v>32</v>
      </c>
      <c r="I89" s="7" t="s">
        <v>32</v>
      </c>
      <c r="J89" s="7" t="s">
        <v>32</v>
      </c>
    </row>
    <row r="90" ht="14.25" customHeight="1">
      <c r="A90" s="7" t="s">
        <v>177</v>
      </c>
      <c r="B90" s="8">
        <f>VLOOKUP(A90,habs,2,0)</f>
        <v>419</v>
      </c>
      <c r="C90" s="7" t="s">
        <v>29</v>
      </c>
      <c r="D90" s="7" t="s">
        <v>33</v>
      </c>
      <c r="E90" s="9">
        <v>7.35</v>
      </c>
      <c r="F90" s="7" t="s">
        <v>179</v>
      </c>
      <c r="G90" s="7" t="s">
        <v>32</v>
      </c>
      <c r="H90" s="7" t="s">
        <v>32</v>
      </c>
      <c r="I90" s="7" t="s">
        <v>31</v>
      </c>
      <c r="J90" s="7" t="s">
        <v>32</v>
      </c>
    </row>
    <row r="91" ht="14.25" customHeight="1">
      <c r="A91" s="7" t="s">
        <v>119</v>
      </c>
      <c r="B91" s="8">
        <f>VLOOKUP(A91,habs,2,0)</f>
        <v>425</v>
      </c>
      <c r="C91" s="7" t="s">
        <v>87</v>
      </c>
      <c r="D91" s="7" t="s">
        <v>92</v>
      </c>
      <c r="E91" s="9">
        <v>23.19</v>
      </c>
      <c r="F91" s="7" t="s">
        <v>89</v>
      </c>
      <c r="G91" s="7" t="s">
        <v>16</v>
      </c>
      <c r="H91" s="7" t="s">
        <v>16</v>
      </c>
      <c r="I91" s="7" t="s">
        <v>90</v>
      </c>
      <c r="J91" s="7" t="s">
        <v>16</v>
      </c>
    </row>
    <row r="92" ht="14.25" customHeight="1">
      <c r="A92" s="7" t="s">
        <v>257</v>
      </c>
      <c r="B92" s="8">
        <f>VLOOKUP(A92,habs,2,0)</f>
        <v>433</v>
      </c>
      <c r="C92" s="7" t="s">
        <v>206</v>
      </c>
      <c r="D92" s="7" t="s">
        <v>209</v>
      </c>
      <c r="E92" s="9">
        <v>61.55</v>
      </c>
      <c r="F92" s="7" t="s">
        <v>208</v>
      </c>
      <c r="G92" s="7" t="s">
        <v>24</v>
      </c>
      <c r="H92" s="7" t="s">
        <v>61</v>
      </c>
      <c r="I92" s="7" t="s">
        <v>61</v>
      </c>
      <c r="J92" s="7" t="s">
        <v>61</v>
      </c>
    </row>
    <row r="93" ht="14.25" customHeight="1">
      <c r="A93" s="7" t="s">
        <v>673</v>
      </c>
      <c r="B93" s="8">
        <f>VLOOKUP(A93,habs,2,0)</f>
        <v>438</v>
      </c>
      <c r="C93" s="7" t="s">
        <v>43</v>
      </c>
      <c r="D93" s="7" t="s">
        <v>40</v>
      </c>
      <c r="E93" s="9">
        <v>56.92</v>
      </c>
      <c r="F93" s="7" t="s">
        <v>45</v>
      </c>
      <c r="G93" s="7" t="s">
        <v>16</v>
      </c>
      <c r="H93" s="7" t="s">
        <v>32</v>
      </c>
      <c r="I93" s="7" t="s">
        <v>32</v>
      </c>
      <c r="J93" s="7" t="s">
        <v>32</v>
      </c>
    </row>
    <row r="94" ht="14.25" customHeight="1">
      <c r="A94" s="7" t="s">
        <v>379</v>
      </c>
      <c r="B94" s="8">
        <f>VLOOKUP(A94,habs,2,0)</f>
        <v>444</v>
      </c>
      <c r="C94" s="7" t="s">
        <v>82</v>
      </c>
      <c r="D94" s="7" t="s">
        <v>203</v>
      </c>
      <c r="E94" s="9">
        <v>177.48</v>
      </c>
      <c r="F94" s="7" t="s">
        <v>74</v>
      </c>
      <c r="G94" s="7" t="s">
        <v>24</v>
      </c>
      <c r="H94" s="7" t="s">
        <v>75</v>
      </c>
      <c r="I94" s="7" t="s">
        <v>75</v>
      </c>
      <c r="J94" s="7" t="s">
        <v>75</v>
      </c>
    </row>
    <row r="95" ht="14.25" customHeight="1">
      <c r="A95" s="7" t="s">
        <v>518</v>
      </c>
      <c r="B95" s="8">
        <f>VLOOKUP(A95,habs,2,0)</f>
        <v>444</v>
      </c>
      <c r="C95" s="7" t="s">
        <v>43</v>
      </c>
      <c r="D95" s="7" t="s">
        <v>40</v>
      </c>
      <c r="E95" s="9">
        <v>47.42</v>
      </c>
      <c r="F95" s="7" t="s">
        <v>45</v>
      </c>
      <c r="G95" s="7" t="s">
        <v>16</v>
      </c>
      <c r="H95" s="7" t="s">
        <v>32</v>
      </c>
      <c r="I95" s="7" t="s">
        <v>32</v>
      </c>
      <c r="J95" s="7" t="s">
        <v>32</v>
      </c>
    </row>
    <row r="96" ht="14.25" customHeight="1">
      <c r="A96" s="7" t="s">
        <v>181</v>
      </c>
      <c r="B96" s="8">
        <f>VLOOKUP(A96,habs,2,0)</f>
        <v>459</v>
      </c>
      <c r="C96" s="7" t="s">
        <v>43</v>
      </c>
      <c r="D96" s="7" t="s">
        <v>40</v>
      </c>
      <c r="E96" s="9">
        <v>76.33</v>
      </c>
      <c r="F96" s="7" t="s">
        <v>32</v>
      </c>
      <c r="G96" s="7" t="s">
        <v>32</v>
      </c>
      <c r="H96" s="7" t="s">
        <v>32</v>
      </c>
      <c r="I96" s="7" t="s">
        <v>32</v>
      </c>
      <c r="J96" s="7" t="s">
        <v>32</v>
      </c>
    </row>
    <row r="97" ht="14.25" customHeight="1">
      <c r="A97" s="7" t="s">
        <v>665</v>
      </c>
      <c r="B97" s="8">
        <f>VLOOKUP(A97,habs,2,0)</f>
        <v>467</v>
      </c>
      <c r="C97" s="7" t="s">
        <v>87</v>
      </c>
      <c r="D97" s="7" t="s">
        <v>92</v>
      </c>
      <c r="E97" s="9">
        <v>46.95</v>
      </c>
      <c r="F97" s="7" t="s">
        <v>402</v>
      </c>
      <c r="G97" s="7" t="s">
        <v>91</v>
      </c>
      <c r="H97" s="7" t="s">
        <v>90</v>
      </c>
      <c r="I97" s="7" t="s">
        <v>90</v>
      </c>
      <c r="J97" s="7" t="s">
        <v>91</v>
      </c>
    </row>
    <row r="98" ht="14.25" customHeight="1">
      <c r="A98" s="7" t="s">
        <v>208</v>
      </c>
      <c r="B98" s="8">
        <f>VLOOKUP(A98,habs,2,0)</f>
        <v>475</v>
      </c>
      <c r="C98" s="7" t="s">
        <v>206</v>
      </c>
      <c r="D98" s="7" t="s">
        <v>209</v>
      </c>
      <c r="E98" s="9">
        <v>95.56</v>
      </c>
      <c r="F98" s="7" t="s">
        <v>208</v>
      </c>
      <c r="G98" s="7" t="s">
        <v>24</v>
      </c>
      <c r="H98" s="7" t="s">
        <v>61</v>
      </c>
      <c r="I98" s="7" t="s">
        <v>61</v>
      </c>
      <c r="J98" s="7" t="s">
        <v>61</v>
      </c>
    </row>
    <row r="99" ht="14.25" customHeight="1">
      <c r="A99" s="7" t="s">
        <v>179</v>
      </c>
      <c r="B99" s="8">
        <f>VLOOKUP(A99,habs,2,0)</f>
        <v>483</v>
      </c>
      <c r="C99" s="7" t="s">
        <v>29</v>
      </c>
      <c r="D99" s="7" t="s">
        <v>33</v>
      </c>
      <c r="E99" s="9">
        <v>11.55</v>
      </c>
      <c r="F99" s="7" t="s">
        <v>179</v>
      </c>
      <c r="G99" s="7" t="s">
        <v>32</v>
      </c>
      <c r="H99" s="7" t="s">
        <v>32</v>
      </c>
      <c r="I99" s="7" t="s">
        <v>31</v>
      </c>
      <c r="J99" s="7" t="s">
        <v>32</v>
      </c>
    </row>
    <row r="100" ht="14.25" customHeight="1">
      <c r="A100" s="7" t="s">
        <v>146</v>
      </c>
      <c r="B100" s="8">
        <f>VLOOKUP(A100,habs,2,0)</f>
        <v>488</v>
      </c>
      <c r="C100" s="7" t="s">
        <v>109</v>
      </c>
      <c r="D100" s="7" t="s">
        <v>112</v>
      </c>
      <c r="E100" s="9">
        <v>64.6</v>
      </c>
      <c r="F100" s="7" t="s">
        <v>146</v>
      </c>
      <c r="G100" s="7" t="s">
        <v>91</v>
      </c>
      <c r="H100" s="7" t="s">
        <v>91</v>
      </c>
      <c r="I100" s="7" t="s">
        <v>91</v>
      </c>
      <c r="J100" s="7" t="s">
        <v>91</v>
      </c>
    </row>
    <row r="101" ht="14.25" customHeight="1">
      <c r="A101" s="7" t="s">
        <v>338</v>
      </c>
      <c r="B101" s="8">
        <f>VLOOKUP(A101,habs,2,0)</f>
        <v>493</v>
      </c>
      <c r="C101" s="7" t="s">
        <v>48</v>
      </c>
      <c r="D101" s="7" t="s">
        <v>50</v>
      </c>
      <c r="E101" s="9">
        <v>75.02</v>
      </c>
      <c r="F101" s="7" t="s">
        <v>47</v>
      </c>
      <c r="G101" s="7" t="s">
        <v>16</v>
      </c>
      <c r="H101" s="7" t="s">
        <v>17</v>
      </c>
      <c r="I101" s="7" t="s">
        <v>17</v>
      </c>
      <c r="J101" s="7" t="s">
        <v>16</v>
      </c>
    </row>
    <row r="102" ht="14.25" customHeight="1">
      <c r="A102" s="7" t="s">
        <v>685</v>
      </c>
      <c r="B102" s="8">
        <f>VLOOKUP(A102,habs,2,0)</f>
        <v>496</v>
      </c>
      <c r="C102" s="7" t="s">
        <v>29</v>
      </c>
      <c r="D102" s="7" t="s">
        <v>33</v>
      </c>
      <c r="E102" s="9">
        <v>43.61</v>
      </c>
      <c r="F102" s="7" t="s">
        <v>45</v>
      </c>
      <c r="G102" s="7" t="s">
        <v>16</v>
      </c>
      <c r="H102" s="7" t="s">
        <v>32</v>
      </c>
      <c r="I102" s="7" t="s">
        <v>32</v>
      </c>
      <c r="J102" s="7" t="s">
        <v>32</v>
      </c>
    </row>
    <row r="103" ht="14.25" customHeight="1">
      <c r="A103" s="7" t="s">
        <v>509</v>
      </c>
      <c r="B103" s="8">
        <f>VLOOKUP(A103,habs,2,0)</f>
        <v>498</v>
      </c>
      <c r="C103" s="7" t="s">
        <v>53</v>
      </c>
      <c r="D103" s="7" t="s">
        <v>56</v>
      </c>
      <c r="E103" s="9">
        <v>36.67</v>
      </c>
      <c r="F103" s="7" t="s">
        <v>74</v>
      </c>
      <c r="G103" s="7" t="s">
        <v>24</v>
      </c>
      <c r="H103" s="7" t="s">
        <v>75</v>
      </c>
      <c r="I103" s="7" t="s">
        <v>75</v>
      </c>
      <c r="J103" s="7" t="s">
        <v>75</v>
      </c>
    </row>
    <row r="104" ht="14.25" customHeight="1">
      <c r="A104" s="7" t="s">
        <v>701</v>
      </c>
      <c r="B104" s="8">
        <f>VLOOKUP(A104,habs,2,0)</f>
        <v>515</v>
      </c>
      <c r="C104" s="7" t="s">
        <v>53</v>
      </c>
      <c r="D104" s="7" t="s">
        <v>56</v>
      </c>
      <c r="E104" s="9">
        <v>36.81</v>
      </c>
      <c r="F104" s="7" t="s">
        <v>55</v>
      </c>
      <c r="G104" s="7" t="s">
        <v>24</v>
      </c>
      <c r="H104" s="7" t="s">
        <v>24</v>
      </c>
      <c r="I104" s="7" t="s">
        <v>24</v>
      </c>
      <c r="J104" s="7" t="s">
        <v>24</v>
      </c>
    </row>
    <row r="105" ht="14.25" customHeight="1">
      <c r="A105" s="7" t="s">
        <v>626</v>
      </c>
      <c r="B105" s="8">
        <f>VLOOKUP(A105,habs,2,0)</f>
        <v>519</v>
      </c>
      <c r="C105" s="7" t="s">
        <v>201</v>
      </c>
      <c r="D105" s="7" t="s">
        <v>203</v>
      </c>
      <c r="E105" s="9">
        <v>221.88</v>
      </c>
      <c r="F105" s="7" t="s">
        <v>440</v>
      </c>
      <c r="G105" s="7" t="s">
        <v>16</v>
      </c>
      <c r="H105" s="7" t="s">
        <v>16</v>
      </c>
      <c r="I105" s="7" t="s">
        <v>75</v>
      </c>
      <c r="J105" s="7" t="s">
        <v>16</v>
      </c>
    </row>
    <row r="106" ht="14.25" customHeight="1">
      <c r="A106" s="7" t="s">
        <v>621</v>
      </c>
      <c r="B106" s="8">
        <f>VLOOKUP(A106,habs,2,0)</f>
        <v>529</v>
      </c>
      <c r="C106" s="7" t="s">
        <v>53</v>
      </c>
      <c r="D106" s="7" t="s">
        <v>56</v>
      </c>
      <c r="E106" s="9">
        <v>19.06</v>
      </c>
      <c r="F106" s="7" t="s">
        <v>55</v>
      </c>
      <c r="G106" s="7" t="s">
        <v>24</v>
      </c>
      <c r="H106" s="7" t="s">
        <v>24</v>
      </c>
      <c r="I106" s="7" t="s">
        <v>24</v>
      </c>
      <c r="J106" s="7" t="s">
        <v>24</v>
      </c>
    </row>
    <row r="107" ht="14.25" customHeight="1">
      <c r="A107" s="7" t="s">
        <v>376</v>
      </c>
      <c r="B107" s="8">
        <f>VLOOKUP(A107,habs,2,0)</f>
        <v>531</v>
      </c>
      <c r="C107" s="7" t="s">
        <v>82</v>
      </c>
      <c r="D107" s="7" t="s">
        <v>26</v>
      </c>
      <c r="E107" s="9">
        <v>76.95</v>
      </c>
      <c r="F107" s="7" t="s">
        <v>74</v>
      </c>
      <c r="G107" s="7" t="s">
        <v>24</v>
      </c>
      <c r="H107" s="7" t="s">
        <v>75</v>
      </c>
      <c r="I107" s="7" t="s">
        <v>75</v>
      </c>
      <c r="J107" s="7" t="s">
        <v>75</v>
      </c>
    </row>
    <row r="108" ht="14.25" customHeight="1">
      <c r="A108" s="7" t="s">
        <v>356</v>
      </c>
      <c r="B108" s="8">
        <f>VLOOKUP(A108,habs,2,0)</f>
        <v>538</v>
      </c>
      <c r="C108" s="7" t="s">
        <v>206</v>
      </c>
      <c r="D108" s="7" t="s">
        <v>209</v>
      </c>
      <c r="E108" s="9">
        <v>157.64</v>
      </c>
      <c r="F108" s="7" t="s">
        <v>356</v>
      </c>
      <c r="G108" s="7" t="s">
        <v>24</v>
      </c>
      <c r="H108" s="7" t="s">
        <v>61</v>
      </c>
      <c r="I108" s="7" t="s">
        <v>61</v>
      </c>
      <c r="J108" s="7" t="s">
        <v>61</v>
      </c>
    </row>
    <row r="109" ht="14.25" customHeight="1">
      <c r="A109" s="7" t="s">
        <v>216</v>
      </c>
      <c r="B109" s="8">
        <f>VLOOKUP(A109,habs,2,0)</f>
        <v>548</v>
      </c>
      <c r="C109" s="7" t="s">
        <v>72</v>
      </c>
      <c r="D109" s="7" t="s">
        <v>76</v>
      </c>
      <c r="E109" s="9">
        <v>242.4</v>
      </c>
      <c r="F109" s="7" t="s">
        <v>216</v>
      </c>
      <c r="G109" s="7" t="s">
        <v>91</v>
      </c>
      <c r="H109" s="7" t="s">
        <v>91</v>
      </c>
      <c r="I109" s="7" t="s">
        <v>91</v>
      </c>
      <c r="J109" s="7" t="s">
        <v>91</v>
      </c>
    </row>
    <row r="110" ht="14.25" customHeight="1">
      <c r="A110" s="7" t="s">
        <v>240</v>
      </c>
      <c r="B110" s="8">
        <f>VLOOKUP(A110,habs,2,0)</f>
        <v>549</v>
      </c>
      <c r="C110" s="7" t="s">
        <v>201</v>
      </c>
      <c r="D110" s="7" t="s">
        <v>203</v>
      </c>
      <c r="E110" s="9">
        <v>152.91</v>
      </c>
      <c r="F110" s="7" t="s">
        <v>175</v>
      </c>
      <c r="G110" s="7" t="s">
        <v>32</v>
      </c>
      <c r="H110" s="7" t="s">
        <v>24</v>
      </c>
      <c r="I110" s="7" t="s">
        <v>16</v>
      </c>
      <c r="J110" s="7" t="s">
        <v>24</v>
      </c>
    </row>
    <row r="111" ht="14.25" customHeight="1">
      <c r="A111" s="7" t="s">
        <v>639</v>
      </c>
      <c r="B111" s="8">
        <f>VLOOKUP(A111,habs,2,0)</f>
        <v>567</v>
      </c>
      <c r="C111" s="7" t="s">
        <v>53</v>
      </c>
      <c r="D111" s="7" t="s">
        <v>56</v>
      </c>
      <c r="E111" s="9">
        <v>30.81</v>
      </c>
      <c r="F111" s="7" t="s">
        <v>637</v>
      </c>
      <c r="G111" s="7" t="s">
        <v>24</v>
      </c>
      <c r="H111" s="7" t="s">
        <v>24</v>
      </c>
      <c r="I111" s="7" t="s">
        <v>24</v>
      </c>
      <c r="J111" s="7" t="s">
        <v>24</v>
      </c>
    </row>
    <row r="112" ht="14.25" customHeight="1">
      <c r="A112" s="7" t="s">
        <v>427</v>
      </c>
      <c r="B112" s="8">
        <f>VLOOKUP(A112,habs,2,0)</f>
        <v>572</v>
      </c>
      <c r="C112" s="7" t="s">
        <v>206</v>
      </c>
      <c r="D112" s="7" t="s">
        <v>209</v>
      </c>
      <c r="E112" s="9">
        <v>207.73</v>
      </c>
      <c r="F112" s="7" t="s">
        <v>356</v>
      </c>
      <c r="G112" s="7" t="s">
        <v>24</v>
      </c>
      <c r="H112" s="7" t="s">
        <v>61</v>
      </c>
      <c r="I112" s="7" t="s">
        <v>61</v>
      </c>
      <c r="J112" s="7" t="s">
        <v>61</v>
      </c>
    </row>
    <row r="113" ht="14.25" customHeight="1">
      <c r="A113" s="7" t="s">
        <v>131</v>
      </c>
      <c r="B113" s="8">
        <f>VLOOKUP(A113,habs,2,0)</f>
        <v>579</v>
      </c>
      <c r="C113" s="7" t="s">
        <v>129</v>
      </c>
      <c r="D113" s="7" t="s">
        <v>132</v>
      </c>
      <c r="E113" s="9">
        <v>24.63</v>
      </c>
      <c r="F113" s="7" t="s">
        <v>131</v>
      </c>
      <c r="G113" s="7" t="s">
        <v>16</v>
      </c>
      <c r="H113" s="7" t="s">
        <v>16</v>
      </c>
      <c r="I113" s="7" t="s">
        <v>16</v>
      </c>
      <c r="J113" s="7" t="s">
        <v>16</v>
      </c>
    </row>
    <row r="114" ht="14.25" customHeight="1">
      <c r="A114" s="7" t="s">
        <v>478</v>
      </c>
      <c r="B114" s="8">
        <f>VLOOKUP(A114,habs,2,0)</f>
        <v>580</v>
      </c>
      <c r="C114" s="7" t="s">
        <v>87</v>
      </c>
      <c r="D114" s="7" t="s">
        <v>92</v>
      </c>
      <c r="E114" s="9">
        <v>38.96</v>
      </c>
      <c r="F114" s="7" t="s">
        <v>89</v>
      </c>
      <c r="G114" s="7" t="s">
        <v>16</v>
      </c>
      <c r="H114" s="7" t="s">
        <v>16</v>
      </c>
      <c r="I114" s="7" t="s">
        <v>90</v>
      </c>
      <c r="J114" s="7" t="s">
        <v>16</v>
      </c>
    </row>
    <row r="115" ht="14.25" customHeight="1">
      <c r="A115" s="7" t="s">
        <v>42</v>
      </c>
      <c r="B115" s="8">
        <f>VLOOKUP(A115,habs,2,0)</f>
        <v>581</v>
      </c>
      <c r="C115" s="7" t="s">
        <v>43</v>
      </c>
      <c r="D115" s="7" t="s">
        <v>40</v>
      </c>
      <c r="E115" s="9">
        <v>40.07</v>
      </c>
      <c r="F115" s="7" t="s">
        <v>45</v>
      </c>
      <c r="G115" s="7" t="s">
        <v>16</v>
      </c>
      <c r="H115" s="7" t="s">
        <v>16</v>
      </c>
      <c r="I115" s="7" t="s">
        <v>17</v>
      </c>
      <c r="J115" s="7" t="s">
        <v>16</v>
      </c>
    </row>
    <row r="116" ht="14.25" customHeight="1">
      <c r="A116" s="7" t="s">
        <v>28</v>
      </c>
      <c r="B116" s="8">
        <f>VLOOKUP(A116,habs,2,0)</f>
        <v>582</v>
      </c>
      <c r="C116" s="7" t="s">
        <v>29</v>
      </c>
      <c r="D116" s="7" t="s">
        <v>33</v>
      </c>
      <c r="E116" s="9">
        <v>57.02</v>
      </c>
      <c r="F116" s="7" t="s">
        <v>31</v>
      </c>
      <c r="G116" s="7" t="s">
        <v>32</v>
      </c>
      <c r="H116" s="7" t="s">
        <v>32</v>
      </c>
      <c r="I116" s="7" t="s">
        <v>31</v>
      </c>
      <c r="J116" s="7" t="s">
        <v>32</v>
      </c>
    </row>
    <row r="117" ht="14.25" customHeight="1">
      <c r="A117" s="7" t="s">
        <v>71</v>
      </c>
      <c r="B117" s="8">
        <f>VLOOKUP(A117,habs,2,0)</f>
        <v>597</v>
      </c>
      <c r="C117" s="7" t="s">
        <v>72</v>
      </c>
      <c r="D117" s="7" t="s">
        <v>76</v>
      </c>
      <c r="E117" s="9">
        <v>110.56</v>
      </c>
      <c r="F117" s="7" t="s">
        <v>74</v>
      </c>
      <c r="G117" s="7" t="s">
        <v>24</v>
      </c>
      <c r="H117" s="7" t="s">
        <v>75</v>
      </c>
      <c r="I117" s="7" t="s">
        <v>75</v>
      </c>
      <c r="J117" s="7" t="s">
        <v>75</v>
      </c>
    </row>
    <row r="118" ht="14.25" customHeight="1">
      <c r="A118" s="7" t="s">
        <v>78</v>
      </c>
      <c r="B118" s="8">
        <f>VLOOKUP(A118,habs,2,0)</f>
        <v>606</v>
      </c>
      <c r="C118" s="7" t="s">
        <v>53</v>
      </c>
      <c r="D118" s="7" t="s">
        <v>56</v>
      </c>
      <c r="E118" s="9">
        <v>28.69</v>
      </c>
      <c r="F118" s="7" t="s">
        <v>68</v>
      </c>
      <c r="G118" s="7" t="s">
        <v>24</v>
      </c>
      <c r="H118" s="7" t="s">
        <v>24</v>
      </c>
      <c r="I118" s="7" t="s">
        <v>24</v>
      </c>
      <c r="J118" s="7" t="s">
        <v>24</v>
      </c>
    </row>
    <row r="119" ht="14.25" customHeight="1">
      <c r="A119" s="7" t="s">
        <v>367</v>
      </c>
      <c r="B119" s="8">
        <f>VLOOKUP(A119,habs,2,0)</f>
        <v>607</v>
      </c>
      <c r="C119" s="7" t="s">
        <v>36</v>
      </c>
      <c r="D119" s="7" t="s">
        <v>40</v>
      </c>
      <c r="E119" s="9">
        <v>37.19</v>
      </c>
      <c r="F119" s="7" t="s">
        <v>175</v>
      </c>
      <c r="G119" s="7" t="s">
        <v>32</v>
      </c>
      <c r="H119" s="7" t="s">
        <v>32</v>
      </c>
      <c r="I119" s="7" t="s">
        <v>16</v>
      </c>
      <c r="J119" s="7" t="s">
        <v>32</v>
      </c>
    </row>
    <row r="120" ht="14.25" customHeight="1">
      <c r="A120" s="7" t="s">
        <v>629</v>
      </c>
      <c r="B120" s="8">
        <f>VLOOKUP(A120,habs,2,0)</f>
        <v>611</v>
      </c>
      <c r="C120" s="7" t="s">
        <v>87</v>
      </c>
      <c r="D120" s="7" t="s">
        <v>92</v>
      </c>
      <c r="E120" s="9">
        <v>12.15</v>
      </c>
      <c r="F120" s="7" t="s">
        <v>89</v>
      </c>
      <c r="G120" s="7" t="s">
        <v>16</v>
      </c>
      <c r="H120" s="7" t="s">
        <v>16</v>
      </c>
      <c r="I120" s="7" t="s">
        <v>90</v>
      </c>
      <c r="J120" s="7" t="s">
        <v>16</v>
      </c>
    </row>
    <row r="121" ht="14.25" customHeight="1">
      <c r="A121" s="7" t="s">
        <v>660</v>
      </c>
      <c r="B121" s="8">
        <f>VLOOKUP(A121,habs,2,0)</f>
        <v>636</v>
      </c>
      <c r="C121" s="7" t="s">
        <v>43</v>
      </c>
      <c r="D121" s="7" t="s">
        <v>40</v>
      </c>
      <c r="E121" s="9">
        <v>42.09</v>
      </c>
      <c r="F121" s="7" t="s">
        <v>98</v>
      </c>
      <c r="G121" s="7" t="s">
        <v>16</v>
      </c>
      <c r="H121" s="7" t="s">
        <v>16</v>
      </c>
      <c r="I121" s="7" t="s">
        <v>16</v>
      </c>
      <c r="J121" s="7" t="s">
        <v>16</v>
      </c>
    </row>
    <row r="122" ht="14.25" customHeight="1">
      <c r="A122" s="7" t="s">
        <v>467</v>
      </c>
      <c r="B122" s="8">
        <f>VLOOKUP(A122,habs,2,0)</f>
        <v>648</v>
      </c>
      <c r="C122" s="7" t="s">
        <v>72</v>
      </c>
      <c r="D122" s="7" t="s">
        <v>76</v>
      </c>
      <c r="E122" s="9">
        <v>59.98</v>
      </c>
      <c r="F122" s="7" t="s">
        <v>143</v>
      </c>
      <c r="G122" s="7" t="s">
        <v>24</v>
      </c>
      <c r="H122" s="7" t="s">
        <v>25</v>
      </c>
      <c r="I122" s="7" t="s">
        <v>75</v>
      </c>
      <c r="J122" s="7" t="s">
        <v>25</v>
      </c>
    </row>
    <row r="123" ht="14.25" customHeight="1">
      <c r="A123" s="7" t="s">
        <v>438</v>
      </c>
      <c r="B123" s="8">
        <f>VLOOKUP(A123,habs,2,0)</f>
        <v>650</v>
      </c>
      <c r="C123" s="7" t="s">
        <v>201</v>
      </c>
      <c r="D123" s="7" t="s">
        <v>203</v>
      </c>
      <c r="E123" s="9">
        <v>49.29</v>
      </c>
      <c r="F123" s="7" t="s">
        <v>440</v>
      </c>
      <c r="G123" s="7" t="s">
        <v>16</v>
      </c>
      <c r="H123" s="7" t="s">
        <v>16</v>
      </c>
      <c r="I123" s="7" t="s">
        <v>16</v>
      </c>
      <c r="J123" s="7" t="s">
        <v>16</v>
      </c>
    </row>
    <row r="124" ht="14.25" customHeight="1">
      <c r="A124" s="7" t="s">
        <v>52</v>
      </c>
      <c r="B124" s="8">
        <f>VLOOKUP(A124,habs,2,0)</f>
        <v>657</v>
      </c>
      <c r="C124" s="7" t="s">
        <v>53</v>
      </c>
      <c r="D124" s="7" t="s">
        <v>56</v>
      </c>
      <c r="E124" s="9">
        <v>38.49</v>
      </c>
      <c r="F124" s="7" t="s">
        <v>55</v>
      </c>
      <c r="G124" s="7" t="s">
        <v>24</v>
      </c>
      <c r="H124" s="7" t="s">
        <v>24</v>
      </c>
      <c r="I124" s="7" t="s">
        <v>24</v>
      </c>
      <c r="J124" s="7" t="s">
        <v>24</v>
      </c>
    </row>
    <row r="125" ht="14.25" customHeight="1">
      <c r="A125" s="7" t="s">
        <v>613</v>
      </c>
      <c r="B125" s="8">
        <f>VLOOKUP(A125,habs,2,0)</f>
        <v>662</v>
      </c>
      <c r="C125" s="7" t="s">
        <v>29</v>
      </c>
      <c r="D125" s="7" t="s">
        <v>33</v>
      </c>
      <c r="E125" s="9">
        <v>43.29</v>
      </c>
      <c r="F125" s="7" t="s">
        <v>45</v>
      </c>
      <c r="G125" s="7" t="s">
        <v>16</v>
      </c>
      <c r="H125" s="7" t="s">
        <v>32</v>
      </c>
      <c r="I125" s="7" t="s">
        <v>32</v>
      </c>
      <c r="J125" s="7" t="s">
        <v>32</v>
      </c>
    </row>
    <row r="126" ht="14.25" customHeight="1">
      <c r="A126" s="7" t="s">
        <v>280</v>
      </c>
      <c r="B126" s="8">
        <f>VLOOKUP(A126,habs,2,0)</f>
        <v>685</v>
      </c>
      <c r="C126" s="7" t="s">
        <v>72</v>
      </c>
      <c r="D126" s="7" t="s">
        <v>76</v>
      </c>
      <c r="E126" s="9">
        <v>144.21</v>
      </c>
      <c r="F126" s="7" t="s">
        <v>111</v>
      </c>
      <c r="G126" s="7" t="s">
        <v>91</v>
      </c>
      <c r="H126" s="7" t="s">
        <v>91</v>
      </c>
      <c r="I126" s="7" t="s">
        <v>75</v>
      </c>
      <c r="J126" s="7" t="s">
        <v>75</v>
      </c>
    </row>
    <row r="127" ht="14.25" customHeight="1">
      <c r="A127" s="7" t="s">
        <v>299</v>
      </c>
      <c r="B127" s="8">
        <f>VLOOKUP(A127,habs,2,0)</f>
        <v>687</v>
      </c>
      <c r="C127" s="7" t="s">
        <v>82</v>
      </c>
      <c r="D127" s="7" t="s">
        <v>26</v>
      </c>
      <c r="E127" s="9">
        <v>150.28</v>
      </c>
      <c r="F127" s="7" t="s">
        <v>66</v>
      </c>
      <c r="G127" s="7" t="s">
        <v>24</v>
      </c>
      <c r="H127" s="7" t="s">
        <v>75</v>
      </c>
      <c r="I127" s="7" t="s">
        <v>75</v>
      </c>
      <c r="J127" s="7" t="s">
        <v>75</v>
      </c>
    </row>
    <row r="128" ht="14.25" customHeight="1">
      <c r="A128" s="7" t="s">
        <v>576</v>
      </c>
      <c r="B128" s="8">
        <f>VLOOKUP(A128,habs,2,0)</f>
        <v>713</v>
      </c>
      <c r="C128" s="7" t="s">
        <v>48</v>
      </c>
      <c r="D128" s="7" t="s">
        <v>50</v>
      </c>
      <c r="E128" s="9">
        <v>46.15</v>
      </c>
      <c r="F128" s="7" t="s">
        <v>47</v>
      </c>
      <c r="G128" s="7" t="s">
        <v>16</v>
      </c>
      <c r="H128" s="7" t="s">
        <v>16</v>
      </c>
      <c r="I128" s="7" t="s">
        <v>17</v>
      </c>
      <c r="J128" s="7" t="s">
        <v>16</v>
      </c>
    </row>
    <row r="129" ht="14.25" customHeight="1">
      <c r="A129" s="7" t="s">
        <v>134</v>
      </c>
      <c r="B129" s="8">
        <f>VLOOKUP(A129,habs,2,0)</f>
        <v>721</v>
      </c>
      <c r="C129" s="7" t="s">
        <v>109</v>
      </c>
      <c r="D129" s="7" t="s">
        <v>112</v>
      </c>
      <c r="E129" s="9">
        <v>44.98</v>
      </c>
      <c r="F129" s="7" t="s">
        <v>91</v>
      </c>
      <c r="G129" s="7" t="s">
        <v>91</v>
      </c>
      <c r="H129" s="7" t="s">
        <v>91</v>
      </c>
      <c r="I129" s="7" t="s">
        <v>91</v>
      </c>
      <c r="J129" s="7" t="s">
        <v>91</v>
      </c>
    </row>
    <row r="130" ht="14.25" customHeight="1">
      <c r="A130" s="7" t="s">
        <v>553</v>
      </c>
      <c r="B130" s="8">
        <f>VLOOKUP(A130,habs,2,0)</f>
        <v>723</v>
      </c>
      <c r="C130" s="7" t="s">
        <v>29</v>
      </c>
      <c r="D130" s="7" t="s">
        <v>33</v>
      </c>
      <c r="E130" s="9">
        <v>24.75</v>
      </c>
      <c r="F130" s="7" t="s">
        <v>288</v>
      </c>
      <c r="G130" s="7" t="s">
        <v>32</v>
      </c>
      <c r="H130" s="7" t="s">
        <v>32</v>
      </c>
      <c r="I130" s="7" t="s">
        <v>31</v>
      </c>
      <c r="J130" s="7" t="s">
        <v>32</v>
      </c>
    </row>
    <row r="131" ht="14.25" customHeight="1">
      <c r="A131" s="7" t="s">
        <v>15</v>
      </c>
      <c r="B131" s="8">
        <f>VLOOKUP(A131,habs,2,0)</f>
        <v>725</v>
      </c>
      <c r="C131" s="7" t="s">
        <v>13</v>
      </c>
      <c r="D131" s="7" t="s">
        <v>18</v>
      </c>
      <c r="E131" s="9">
        <v>20.05</v>
      </c>
      <c r="F131" s="7" t="s">
        <v>15</v>
      </c>
      <c r="G131" s="7" t="s">
        <v>16</v>
      </c>
      <c r="H131" s="7" t="s">
        <v>17</v>
      </c>
      <c r="I131" s="7" t="s">
        <v>17</v>
      </c>
      <c r="J131" s="7" t="s">
        <v>16</v>
      </c>
    </row>
    <row r="132" ht="14.25" customHeight="1">
      <c r="A132" s="7" t="s">
        <v>125</v>
      </c>
      <c r="B132" s="8">
        <f>VLOOKUP(A132,habs,2,0)</f>
        <v>735</v>
      </c>
      <c r="C132" s="7" t="s">
        <v>13</v>
      </c>
      <c r="D132" s="7" t="s">
        <v>18</v>
      </c>
      <c r="E132" s="9">
        <v>21.97</v>
      </c>
      <c r="F132" s="7" t="s">
        <v>17</v>
      </c>
      <c r="G132" s="7" t="s">
        <v>16</v>
      </c>
      <c r="H132" s="7" t="s">
        <v>17</v>
      </c>
      <c r="I132" s="7" t="s">
        <v>17</v>
      </c>
      <c r="J132" s="7" t="s">
        <v>16</v>
      </c>
    </row>
    <row r="133" ht="14.25" customHeight="1">
      <c r="A133" s="7" t="s">
        <v>632</v>
      </c>
      <c r="B133" s="8">
        <f>VLOOKUP(A133,habs,2,0)</f>
        <v>739</v>
      </c>
      <c r="C133" s="7" t="s">
        <v>53</v>
      </c>
      <c r="D133" s="7" t="s">
        <v>56</v>
      </c>
      <c r="E133" s="9">
        <v>63.83</v>
      </c>
      <c r="F133" s="7" t="s">
        <v>55</v>
      </c>
      <c r="G133" s="7" t="s">
        <v>24</v>
      </c>
      <c r="H133" s="7" t="s">
        <v>24</v>
      </c>
      <c r="I133" s="7" t="s">
        <v>24</v>
      </c>
      <c r="J133" s="7" t="s">
        <v>24</v>
      </c>
    </row>
    <row r="134" ht="14.25" customHeight="1">
      <c r="A134" s="7" t="s">
        <v>100</v>
      </c>
      <c r="B134" s="8">
        <f>VLOOKUP(A134,habs,2,0)</f>
        <v>755</v>
      </c>
      <c r="C134" s="7" t="s">
        <v>72</v>
      </c>
      <c r="D134" s="7" t="s">
        <v>76</v>
      </c>
      <c r="E134" s="9">
        <v>599.51</v>
      </c>
      <c r="F134" s="7" t="s">
        <v>102</v>
      </c>
      <c r="G134" s="7" t="s">
        <v>24</v>
      </c>
      <c r="H134" s="7" t="s">
        <v>25</v>
      </c>
      <c r="I134" s="7" t="s">
        <v>75</v>
      </c>
      <c r="J134" s="7" t="s">
        <v>25</v>
      </c>
    </row>
    <row r="135" ht="14.25" customHeight="1">
      <c r="A135" s="7" t="s">
        <v>601</v>
      </c>
      <c r="B135" s="8">
        <f>VLOOKUP(A135,habs,2,0)</f>
        <v>763</v>
      </c>
      <c r="C135" s="7" t="s">
        <v>87</v>
      </c>
      <c r="D135" s="7" t="s">
        <v>92</v>
      </c>
      <c r="E135" s="9">
        <v>52.83</v>
      </c>
      <c r="F135" s="7" t="s">
        <v>313</v>
      </c>
      <c r="G135" s="7" t="s">
        <v>16</v>
      </c>
      <c r="H135" s="7" t="s">
        <v>16</v>
      </c>
      <c r="I135" s="7" t="s">
        <v>90</v>
      </c>
      <c r="J135" s="7" t="s">
        <v>16</v>
      </c>
    </row>
    <row r="136" ht="14.25" customHeight="1">
      <c r="A136" s="7" t="s">
        <v>237</v>
      </c>
      <c r="B136" s="8">
        <f>VLOOKUP(A136,habs,2,0)</f>
        <v>769</v>
      </c>
      <c r="C136" s="7" t="s">
        <v>13</v>
      </c>
      <c r="D136" s="7" t="s">
        <v>18</v>
      </c>
      <c r="E136" s="9">
        <v>27.6</v>
      </c>
      <c r="F136" s="7" t="s">
        <v>15</v>
      </c>
      <c r="G136" s="7" t="s">
        <v>16</v>
      </c>
      <c r="H136" s="7" t="s">
        <v>17</v>
      </c>
      <c r="I136" s="7" t="s">
        <v>17</v>
      </c>
      <c r="J136" s="7" t="s">
        <v>16</v>
      </c>
    </row>
    <row r="137" ht="14.25" customHeight="1">
      <c r="A137" s="7" t="s">
        <v>365</v>
      </c>
      <c r="B137" s="8">
        <f>VLOOKUP(A137,habs,2,0)</f>
        <v>776</v>
      </c>
      <c r="C137" s="7" t="s">
        <v>59</v>
      </c>
      <c r="D137" s="7" t="s">
        <v>62</v>
      </c>
      <c r="E137" s="9">
        <v>98.48</v>
      </c>
      <c r="F137" s="7" t="s">
        <v>365</v>
      </c>
      <c r="G137" s="7" t="s">
        <v>24</v>
      </c>
      <c r="H137" s="7" t="s">
        <v>24</v>
      </c>
      <c r="I137" s="7" t="s">
        <v>24</v>
      </c>
      <c r="J137" s="7" t="s">
        <v>24</v>
      </c>
    </row>
    <row r="138" ht="14.25" customHeight="1">
      <c r="A138" s="7" t="s">
        <v>721</v>
      </c>
      <c r="B138" s="8">
        <f>VLOOKUP(A138,habs,2,0)</f>
        <v>782</v>
      </c>
      <c r="C138" s="7" t="s">
        <v>109</v>
      </c>
      <c r="D138" s="7" t="s">
        <v>112</v>
      </c>
      <c r="E138" s="9">
        <v>23.28</v>
      </c>
      <c r="F138" s="7" t="s">
        <v>598</v>
      </c>
      <c r="G138" s="7" t="s">
        <v>91</v>
      </c>
      <c r="H138" s="7" t="s">
        <v>91</v>
      </c>
      <c r="I138" s="7" t="s">
        <v>598</v>
      </c>
      <c r="J138" s="7" t="s">
        <v>91</v>
      </c>
    </row>
    <row r="139" ht="14.25" customHeight="1">
      <c r="A139" s="7" t="s">
        <v>35</v>
      </c>
      <c r="B139" s="8">
        <f>VLOOKUP(A139,habs,2,0)</f>
        <v>802</v>
      </c>
      <c r="C139" s="7" t="s">
        <v>36</v>
      </c>
      <c r="D139" s="7" t="s">
        <v>40</v>
      </c>
      <c r="E139" s="9">
        <v>91.06</v>
      </c>
      <c r="F139" s="7" t="s">
        <v>38</v>
      </c>
      <c r="G139" s="7" t="s">
        <v>32</v>
      </c>
      <c r="H139" s="7" t="s">
        <v>39</v>
      </c>
      <c r="I139" s="7" t="s">
        <v>32</v>
      </c>
      <c r="J139" s="7" t="s">
        <v>24</v>
      </c>
    </row>
    <row r="140" ht="14.25" customHeight="1">
      <c r="A140" s="7" t="s">
        <v>122</v>
      </c>
      <c r="B140" s="8">
        <f>VLOOKUP(A140,habs,2,0)</f>
        <v>809</v>
      </c>
      <c r="C140" s="7" t="s">
        <v>53</v>
      </c>
      <c r="D140" s="7" t="s">
        <v>56</v>
      </c>
      <c r="E140" s="9">
        <v>115.12</v>
      </c>
      <c r="F140" s="7" t="s">
        <v>68</v>
      </c>
      <c r="G140" s="7" t="s">
        <v>24</v>
      </c>
      <c r="H140" s="7" t="s">
        <v>24</v>
      </c>
      <c r="I140" s="7" t="s">
        <v>24</v>
      </c>
      <c r="J140" s="7" t="s">
        <v>24</v>
      </c>
    </row>
    <row r="141" ht="14.25" customHeight="1">
      <c r="A141" s="7" t="s">
        <v>194</v>
      </c>
      <c r="B141" s="8">
        <f>VLOOKUP(A141,habs,2,0)</f>
        <v>833</v>
      </c>
      <c r="C141" s="7" t="s">
        <v>21</v>
      </c>
      <c r="D141" s="7" t="s">
        <v>26</v>
      </c>
      <c r="E141" s="9">
        <v>73.05</v>
      </c>
      <c r="F141" s="7" t="s">
        <v>23</v>
      </c>
      <c r="G141" s="7" t="s">
        <v>24</v>
      </c>
      <c r="H141" s="7" t="s">
        <v>25</v>
      </c>
      <c r="I141" s="7" t="s">
        <v>23</v>
      </c>
      <c r="J141" s="7" t="s">
        <v>25</v>
      </c>
    </row>
    <row r="142" ht="14.25" customHeight="1">
      <c r="A142" s="7" t="s">
        <v>274</v>
      </c>
      <c r="B142" s="8">
        <f>VLOOKUP(A142,habs,2,0)</f>
        <v>833</v>
      </c>
      <c r="C142" s="7" t="s">
        <v>87</v>
      </c>
      <c r="D142" s="7" t="s">
        <v>92</v>
      </c>
      <c r="E142" s="9">
        <v>52.63</v>
      </c>
      <c r="F142" s="7" t="s">
        <v>89</v>
      </c>
      <c r="G142" s="7" t="s">
        <v>16</v>
      </c>
      <c r="H142" s="7" t="s">
        <v>90</v>
      </c>
      <c r="I142" s="7" t="s">
        <v>90</v>
      </c>
      <c r="J142" s="7" t="s">
        <v>91</v>
      </c>
    </row>
    <row r="143" ht="14.25" customHeight="1">
      <c r="A143" s="7" t="s">
        <v>223</v>
      </c>
      <c r="B143" s="8">
        <f>VLOOKUP(A143,habs,2,0)</f>
        <v>834</v>
      </c>
      <c r="C143" s="7" t="s">
        <v>48</v>
      </c>
      <c r="D143" s="7" t="s">
        <v>50</v>
      </c>
      <c r="E143" s="9">
        <v>58.72</v>
      </c>
      <c r="F143" s="7" t="s">
        <v>223</v>
      </c>
      <c r="G143" s="7" t="s">
        <v>16</v>
      </c>
      <c r="H143" s="7" t="s">
        <v>17</v>
      </c>
      <c r="I143" s="7" t="s">
        <v>188</v>
      </c>
      <c r="J143" s="7" t="s">
        <v>16</v>
      </c>
    </row>
    <row r="144" ht="14.25" customHeight="1">
      <c r="A144" s="7" t="s">
        <v>610</v>
      </c>
      <c r="B144" s="8">
        <f>VLOOKUP(A144,habs,2,0)</f>
        <v>838</v>
      </c>
      <c r="C144" s="7" t="s">
        <v>129</v>
      </c>
      <c r="D144" s="7" t="s">
        <v>132</v>
      </c>
      <c r="E144" s="9">
        <v>22.26</v>
      </c>
      <c r="F144" s="7" t="s">
        <v>131</v>
      </c>
      <c r="G144" s="7" t="s">
        <v>16</v>
      </c>
      <c r="H144" s="7" t="s">
        <v>16</v>
      </c>
      <c r="I144" s="7" t="s">
        <v>16</v>
      </c>
      <c r="J144" s="7" t="s">
        <v>16</v>
      </c>
    </row>
    <row r="145" ht="14.25" customHeight="1">
      <c r="A145" s="7" t="s">
        <v>277</v>
      </c>
      <c r="B145" s="8">
        <f>VLOOKUP(A145,habs,2,0)</f>
        <v>840</v>
      </c>
      <c r="C145" s="7" t="s">
        <v>82</v>
      </c>
      <c r="D145" s="7" t="s">
        <v>26</v>
      </c>
      <c r="E145" s="9">
        <v>113.51</v>
      </c>
      <c r="F145" s="7" t="s">
        <v>74</v>
      </c>
      <c r="G145" s="7" t="s">
        <v>24</v>
      </c>
      <c r="H145" s="7" t="s">
        <v>75</v>
      </c>
      <c r="I145" s="7" t="s">
        <v>75</v>
      </c>
      <c r="J145" s="7" t="s">
        <v>75</v>
      </c>
    </row>
    <row r="146" ht="14.25" customHeight="1">
      <c r="A146" s="7" t="s">
        <v>718</v>
      </c>
      <c r="B146" s="8">
        <f>VLOOKUP(A146,habs,2,0)</f>
        <v>844</v>
      </c>
      <c r="C146" s="7" t="s">
        <v>109</v>
      </c>
      <c r="D146" s="7" t="s">
        <v>112</v>
      </c>
      <c r="E146" s="9">
        <v>23.91</v>
      </c>
      <c r="F146" s="7" t="s">
        <v>598</v>
      </c>
      <c r="G146" s="7" t="s">
        <v>91</v>
      </c>
      <c r="H146" s="7" t="s">
        <v>91</v>
      </c>
      <c r="I146" s="7" t="s">
        <v>598</v>
      </c>
      <c r="J146" s="7" t="s">
        <v>91</v>
      </c>
    </row>
    <row r="147" ht="14.25" customHeight="1">
      <c r="A147" s="7" t="s">
        <v>712</v>
      </c>
      <c r="B147" s="8">
        <f>VLOOKUP(A147,habs,2,0)</f>
        <v>848</v>
      </c>
      <c r="C147" s="7" t="s">
        <v>29</v>
      </c>
      <c r="D147" s="7" t="s">
        <v>33</v>
      </c>
      <c r="E147" s="9">
        <v>23.06</v>
      </c>
      <c r="F147" s="7" t="s">
        <v>374</v>
      </c>
      <c r="G147" s="7" t="s">
        <v>32</v>
      </c>
      <c r="H147" s="7" t="s">
        <v>32</v>
      </c>
      <c r="I147" s="7" t="s">
        <v>32</v>
      </c>
      <c r="J147" s="7" t="s">
        <v>32</v>
      </c>
    </row>
    <row r="148" ht="14.25" customHeight="1">
      <c r="A148" s="7" t="s">
        <v>31</v>
      </c>
      <c r="B148" s="8">
        <f>VLOOKUP(A148,habs,2,0)</f>
        <v>851</v>
      </c>
      <c r="C148" s="7" t="s">
        <v>29</v>
      </c>
      <c r="D148" s="7" t="s">
        <v>33</v>
      </c>
      <c r="E148" s="9">
        <v>15.09</v>
      </c>
      <c r="F148" s="7" t="s">
        <v>31</v>
      </c>
      <c r="G148" s="7" t="s">
        <v>32</v>
      </c>
      <c r="H148" s="7" t="s">
        <v>32</v>
      </c>
      <c r="I148" s="7" t="s">
        <v>31</v>
      </c>
      <c r="J148" s="7" t="s">
        <v>32</v>
      </c>
    </row>
    <row r="149" ht="14.25" customHeight="1">
      <c r="A149" s="7" t="s">
        <v>296</v>
      </c>
      <c r="B149" s="8">
        <f>VLOOKUP(A149,habs,2,0)</f>
        <v>858</v>
      </c>
      <c r="C149" s="7" t="s">
        <v>43</v>
      </c>
      <c r="D149" s="7" t="s">
        <v>40</v>
      </c>
      <c r="E149" s="9">
        <v>79.51</v>
      </c>
      <c r="F149" s="7" t="s">
        <v>98</v>
      </c>
      <c r="G149" s="7" t="s">
        <v>16</v>
      </c>
      <c r="H149" s="7" t="s">
        <v>16</v>
      </c>
      <c r="I149" s="7" t="s">
        <v>16</v>
      </c>
      <c r="J149" s="7" t="s">
        <v>16</v>
      </c>
    </row>
    <row r="150" ht="14.25" customHeight="1">
      <c r="A150" s="7" t="s">
        <v>290</v>
      </c>
      <c r="B150" s="8">
        <f>VLOOKUP(A150,habs,2,0)</f>
        <v>863</v>
      </c>
      <c r="C150" s="7" t="s">
        <v>21</v>
      </c>
      <c r="D150" s="7" t="s">
        <v>26</v>
      </c>
      <c r="E150" s="9">
        <v>100.71</v>
      </c>
      <c r="F150" s="7" t="s">
        <v>23</v>
      </c>
      <c r="G150" s="7" t="s">
        <v>24</v>
      </c>
      <c r="H150" s="7" t="s">
        <v>75</v>
      </c>
      <c r="I150" s="7" t="s">
        <v>23</v>
      </c>
      <c r="J150" s="7" t="s">
        <v>75</v>
      </c>
    </row>
    <row r="151" ht="14.25" customHeight="1">
      <c r="A151" s="7" t="s">
        <v>286</v>
      </c>
      <c r="B151" s="8">
        <f>VLOOKUP(A151,habs,2,0)</f>
        <v>865</v>
      </c>
      <c r="C151" s="7" t="s">
        <v>29</v>
      </c>
      <c r="D151" s="7" t="s">
        <v>33</v>
      </c>
      <c r="E151" s="9">
        <v>32.54</v>
      </c>
      <c r="F151" s="7" t="s">
        <v>288</v>
      </c>
      <c r="G151" s="7" t="s">
        <v>32</v>
      </c>
      <c r="H151" s="7" t="s">
        <v>32</v>
      </c>
      <c r="I151" s="7" t="s">
        <v>31</v>
      </c>
      <c r="J151" s="7" t="s">
        <v>32</v>
      </c>
    </row>
    <row r="152" ht="14.25" customHeight="1">
      <c r="A152" s="7" t="s">
        <v>305</v>
      </c>
      <c r="B152" s="8">
        <f>VLOOKUP(A152,habs,2,0)</f>
        <v>898</v>
      </c>
      <c r="C152" s="7" t="s">
        <v>87</v>
      </c>
      <c r="D152" s="7" t="s">
        <v>92</v>
      </c>
      <c r="E152" s="9">
        <v>48.06</v>
      </c>
      <c r="F152" s="7" t="s">
        <v>89</v>
      </c>
      <c r="G152" s="7" t="s">
        <v>16</v>
      </c>
      <c r="H152" s="7" t="s">
        <v>90</v>
      </c>
      <c r="I152" s="7" t="s">
        <v>90</v>
      </c>
      <c r="J152" s="7" t="s">
        <v>16</v>
      </c>
    </row>
    <row r="153" ht="14.25" customHeight="1">
      <c r="A153" s="7" t="s">
        <v>444</v>
      </c>
      <c r="B153" s="8">
        <f>VLOOKUP(A153,habs,2,0)</f>
        <v>899</v>
      </c>
      <c r="C153" s="7" t="s">
        <v>59</v>
      </c>
      <c r="D153" s="7" t="s">
        <v>62</v>
      </c>
      <c r="E153" s="9">
        <v>204.45</v>
      </c>
      <c r="F153" s="7" t="s">
        <v>365</v>
      </c>
      <c r="G153" s="7" t="s">
        <v>24</v>
      </c>
      <c r="H153" s="7" t="s">
        <v>24</v>
      </c>
      <c r="I153" s="7" t="s">
        <v>24</v>
      </c>
      <c r="J153" s="7" t="s">
        <v>24</v>
      </c>
    </row>
    <row r="154" ht="14.25" customHeight="1">
      <c r="A154" s="7" t="s">
        <v>490</v>
      </c>
      <c r="B154" s="8">
        <f>VLOOKUP(A154,habs,2,0)</f>
        <v>911</v>
      </c>
      <c r="C154" s="7" t="s">
        <v>29</v>
      </c>
      <c r="D154" s="7" t="s">
        <v>33</v>
      </c>
      <c r="E154" s="9">
        <v>36.27</v>
      </c>
      <c r="F154" s="7" t="s">
        <v>31</v>
      </c>
      <c r="G154" s="7" t="s">
        <v>32</v>
      </c>
      <c r="H154" s="7" t="s">
        <v>32</v>
      </c>
      <c r="I154" s="7" t="s">
        <v>31</v>
      </c>
      <c r="J154" s="7" t="s">
        <v>32</v>
      </c>
    </row>
    <row r="155" ht="14.25" customHeight="1">
      <c r="A155" s="7" t="s">
        <v>715</v>
      </c>
      <c r="B155" s="8">
        <f>VLOOKUP(A155,habs,2,0)</f>
        <v>913</v>
      </c>
      <c r="C155" s="7" t="s">
        <v>43</v>
      </c>
      <c r="D155" s="7" t="s">
        <v>40</v>
      </c>
      <c r="E155" s="9">
        <v>13.82</v>
      </c>
      <c r="F155" s="7" t="s">
        <v>98</v>
      </c>
      <c r="G155" s="7" t="s">
        <v>16</v>
      </c>
      <c r="H155" s="7" t="s">
        <v>16</v>
      </c>
      <c r="I155" s="7" t="s">
        <v>16</v>
      </c>
      <c r="J155" s="7" t="s">
        <v>16</v>
      </c>
    </row>
    <row r="156" ht="14.25" customHeight="1">
      <c r="A156" s="7" t="s">
        <v>579</v>
      </c>
      <c r="B156" s="8">
        <f>VLOOKUP(A156,habs,2,0)</f>
        <v>947</v>
      </c>
      <c r="C156" s="7" t="s">
        <v>109</v>
      </c>
      <c r="D156" s="7" t="s">
        <v>203</v>
      </c>
      <c r="E156" s="9">
        <v>60.41</v>
      </c>
      <c r="F156" s="7" t="s">
        <v>111</v>
      </c>
      <c r="G156" s="7" t="s">
        <v>91</v>
      </c>
      <c r="H156" s="7" t="s">
        <v>91</v>
      </c>
      <c r="I156" s="7" t="s">
        <v>91</v>
      </c>
      <c r="J156" s="7" t="s">
        <v>91</v>
      </c>
    </row>
    <row r="157" ht="14.25" customHeight="1">
      <c r="A157" s="7" t="s">
        <v>496</v>
      </c>
      <c r="B157" s="8">
        <f>VLOOKUP(A157,habs,2,0)</f>
        <v>976</v>
      </c>
      <c r="C157" s="7" t="s">
        <v>48</v>
      </c>
      <c r="D157" s="7" t="s">
        <v>50</v>
      </c>
      <c r="E157" s="9">
        <v>19.88</v>
      </c>
      <c r="F157" s="7" t="s">
        <v>223</v>
      </c>
      <c r="G157" s="7" t="s">
        <v>16</v>
      </c>
      <c r="H157" s="7" t="s">
        <v>17</v>
      </c>
      <c r="I157" s="7" t="s">
        <v>188</v>
      </c>
      <c r="J157" s="7" t="s">
        <v>16</v>
      </c>
    </row>
    <row r="158" ht="14.25" customHeight="1">
      <c r="A158" s="7" t="s">
        <v>607</v>
      </c>
      <c r="B158" s="8">
        <f>VLOOKUP(A158,habs,2,0)</f>
        <v>985</v>
      </c>
      <c r="C158" s="7" t="s">
        <v>129</v>
      </c>
      <c r="D158" s="7" t="s">
        <v>132</v>
      </c>
      <c r="E158" s="9">
        <v>76.59</v>
      </c>
      <c r="F158" s="7" t="s">
        <v>162</v>
      </c>
      <c r="G158" s="7" t="s">
        <v>16</v>
      </c>
      <c r="H158" s="7" t="s">
        <v>16</v>
      </c>
      <c r="I158" s="7" t="s">
        <v>16</v>
      </c>
      <c r="J158" s="7" t="s">
        <v>16</v>
      </c>
    </row>
    <row r="159" ht="14.25" customHeight="1">
      <c r="A159" s="7" t="s">
        <v>200</v>
      </c>
      <c r="B159" s="8">
        <f>VLOOKUP(A159,habs,2,0)</f>
        <v>1009</v>
      </c>
      <c r="C159" s="7" t="s">
        <v>201</v>
      </c>
      <c r="D159" s="7" t="s">
        <v>203</v>
      </c>
      <c r="E159" s="9">
        <v>86.47</v>
      </c>
      <c r="F159" s="7" t="s">
        <v>175</v>
      </c>
      <c r="G159" s="7" t="s">
        <v>32</v>
      </c>
      <c r="H159" s="7" t="s">
        <v>24</v>
      </c>
      <c r="I159" s="7" t="s">
        <v>16</v>
      </c>
      <c r="J159" s="7" t="s">
        <v>24</v>
      </c>
    </row>
    <row r="160" ht="14.25" customHeight="1">
      <c r="A160" s="7" t="s">
        <v>252</v>
      </c>
      <c r="B160" s="8">
        <f>VLOOKUP(A160,habs,2,0)</f>
        <v>1013</v>
      </c>
      <c r="C160" s="7" t="s">
        <v>72</v>
      </c>
      <c r="D160" s="7" t="s">
        <v>76</v>
      </c>
      <c r="E160" s="9">
        <v>146.97</v>
      </c>
      <c r="F160" s="7" t="s">
        <v>252</v>
      </c>
      <c r="G160" s="7" t="s">
        <v>91</v>
      </c>
      <c r="H160" s="7" t="s">
        <v>91</v>
      </c>
      <c r="I160" s="7" t="s">
        <v>91</v>
      </c>
      <c r="J160" s="7" t="s">
        <v>91</v>
      </c>
    </row>
    <row r="161" ht="14.25" customHeight="1">
      <c r="A161" s="7" t="s">
        <v>188</v>
      </c>
      <c r="B161" s="8">
        <f>VLOOKUP(A161,habs,2,0)</f>
        <v>1017</v>
      </c>
      <c r="C161" s="7" t="s">
        <v>185</v>
      </c>
      <c r="D161" s="7" t="s">
        <v>189</v>
      </c>
      <c r="E161" s="9">
        <v>36.91</v>
      </c>
      <c r="F161" s="7" t="s">
        <v>223</v>
      </c>
      <c r="G161" s="7" t="s">
        <v>16</v>
      </c>
      <c r="H161" s="7" t="s">
        <v>17</v>
      </c>
      <c r="I161" s="7" t="s">
        <v>188</v>
      </c>
      <c r="J161" s="7" t="s">
        <v>16</v>
      </c>
    </row>
    <row r="162" ht="14.25" customHeight="1">
      <c r="A162" s="7" t="s">
        <v>616</v>
      </c>
      <c r="B162" s="8">
        <f>VLOOKUP(A162,habs,2,0)</f>
        <v>1050</v>
      </c>
      <c r="C162" s="7" t="s">
        <v>82</v>
      </c>
      <c r="D162" s="7" t="s">
        <v>26</v>
      </c>
      <c r="E162" s="9">
        <v>139.54</v>
      </c>
      <c r="F162" s="7" t="s">
        <v>74</v>
      </c>
      <c r="G162" s="7" t="s">
        <v>24</v>
      </c>
      <c r="H162" s="7" t="s">
        <v>75</v>
      </c>
      <c r="I162" s="7" t="s">
        <v>75</v>
      </c>
      <c r="J162" s="7" t="s">
        <v>75</v>
      </c>
    </row>
    <row r="163" ht="14.25" customHeight="1">
      <c r="A163" s="7" t="s">
        <v>211</v>
      </c>
      <c r="B163" s="8">
        <f>VLOOKUP(A163,habs,2,0)</f>
        <v>1078</v>
      </c>
      <c r="C163" s="7" t="s">
        <v>43</v>
      </c>
      <c r="D163" s="7" t="s">
        <v>40</v>
      </c>
      <c r="E163" s="9">
        <v>20.29</v>
      </c>
      <c r="F163" s="7" t="s">
        <v>98</v>
      </c>
      <c r="G163" s="7" t="s">
        <v>16</v>
      </c>
      <c r="H163" s="7" t="s">
        <v>16</v>
      </c>
      <c r="I163" s="7" t="s">
        <v>16</v>
      </c>
      <c r="J163" s="7" t="s">
        <v>16</v>
      </c>
    </row>
    <row r="164" ht="14.25" customHeight="1">
      <c r="A164" s="7" t="s">
        <v>55</v>
      </c>
      <c r="B164" s="8">
        <f>VLOOKUP(A164,habs,2,0)</f>
        <v>1104</v>
      </c>
      <c r="C164" s="7" t="s">
        <v>53</v>
      </c>
      <c r="D164" s="7" t="s">
        <v>56</v>
      </c>
      <c r="E164" s="9">
        <v>27.14</v>
      </c>
      <c r="F164" s="7" t="s">
        <v>55</v>
      </c>
      <c r="G164" s="7" t="s">
        <v>24</v>
      </c>
      <c r="H164" s="7" t="s">
        <v>24</v>
      </c>
      <c r="I164" s="7" t="s">
        <v>24</v>
      </c>
      <c r="J164" s="7" t="s">
        <v>24</v>
      </c>
    </row>
    <row r="165" ht="14.25" customHeight="1">
      <c r="A165" s="7" t="s">
        <v>184</v>
      </c>
      <c r="B165" s="8">
        <f>VLOOKUP(A165,habs,2,0)</f>
        <v>1132</v>
      </c>
      <c r="C165" s="7" t="s">
        <v>185</v>
      </c>
      <c r="D165" s="7" t="s">
        <v>189</v>
      </c>
      <c r="E165" s="9">
        <v>147.06</v>
      </c>
      <c r="F165" s="7" t="s">
        <v>187</v>
      </c>
      <c r="G165" s="7" t="s">
        <v>16</v>
      </c>
      <c r="H165" s="7" t="s">
        <v>17</v>
      </c>
      <c r="I165" s="7" t="s">
        <v>188</v>
      </c>
      <c r="J165" s="7" t="s">
        <v>16</v>
      </c>
    </row>
    <row r="166" ht="14.25" customHeight="1">
      <c r="A166" s="7" t="s">
        <v>704</v>
      </c>
      <c r="B166" s="8">
        <f>VLOOKUP(A166,habs,2,0)</f>
        <v>1134</v>
      </c>
      <c r="C166" s="7" t="s">
        <v>36</v>
      </c>
      <c r="D166" s="7" t="s">
        <v>40</v>
      </c>
      <c r="E166" s="9">
        <v>170.27</v>
      </c>
      <c r="F166" s="7" t="s">
        <v>38</v>
      </c>
      <c r="G166" s="7" t="s">
        <v>32</v>
      </c>
      <c r="H166" s="7" t="s">
        <v>39</v>
      </c>
      <c r="I166" s="7" t="s">
        <v>32</v>
      </c>
      <c r="J166" s="7" t="s">
        <v>24</v>
      </c>
    </row>
    <row r="167" ht="14.25" customHeight="1">
      <c r="A167" s="7" t="s">
        <v>527</v>
      </c>
      <c r="B167" s="8">
        <f>VLOOKUP(A167,habs,2,0)</f>
        <v>1190</v>
      </c>
      <c r="C167" s="7" t="s">
        <v>36</v>
      </c>
      <c r="D167" s="7" t="s">
        <v>40</v>
      </c>
      <c r="E167" s="9">
        <v>49.48</v>
      </c>
      <c r="F167" s="7" t="s">
        <v>98</v>
      </c>
      <c r="G167" s="7" t="s">
        <v>16</v>
      </c>
      <c r="H167" s="7" t="s">
        <v>32</v>
      </c>
      <c r="I167" s="7" t="s">
        <v>16</v>
      </c>
      <c r="J167" s="7" t="s">
        <v>32</v>
      </c>
    </row>
    <row r="168" ht="14.25" customHeight="1">
      <c r="A168" s="7" t="s">
        <v>227</v>
      </c>
      <c r="B168" s="8">
        <f>VLOOKUP(A168,habs,2,0)</f>
        <v>1225</v>
      </c>
      <c r="C168" s="7" t="s">
        <v>185</v>
      </c>
      <c r="D168" s="7" t="s">
        <v>189</v>
      </c>
      <c r="E168" s="9">
        <v>94.77</v>
      </c>
      <c r="F168" s="7" t="s">
        <v>227</v>
      </c>
      <c r="G168" s="7" t="s">
        <v>16</v>
      </c>
      <c r="H168" s="7" t="s">
        <v>17</v>
      </c>
      <c r="I168" s="7" t="s">
        <v>188</v>
      </c>
      <c r="J168" s="7" t="s">
        <v>16</v>
      </c>
    </row>
    <row r="169" ht="14.25" customHeight="1">
      <c r="A169" s="7" t="s">
        <v>390</v>
      </c>
      <c r="B169" s="8">
        <f>VLOOKUP(A169,habs,2,0)</f>
        <v>1238</v>
      </c>
      <c r="C169" s="7" t="s">
        <v>129</v>
      </c>
      <c r="D169" s="7" t="s">
        <v>132</v>
      </c>
      <c r="E169" s="9">
        <v>58.95</v>
      </c>
      <c r="F169" s="7" t="s">
        <v>162</v>
      </c>
      <c r="G169" s="7" t="s">
        <v>16</v>
      </c>
      <c r="H169" s="7" t="s">
        <v>16</v>
      </c>
      <c r="I169" s="7" t="s">
        <v>16</v>
      </c>
      <c r="J169" s="7" t="s">
        <v>16</v>
      </c>
    </row>
    <row r="170" ht="14.25" customHeight="1">
      <c r="A170" s="7" t="s">
        <v>153</v>
      </c>
      <c r="B170" s="8">
        <f>VLOOKUP(A170,habs,2,0)</f>
        <v>1243</v>
      </c>
      <c r="C170" s="7" t="s">
        <v>59</v>
      </c>
      <c r="D170" s="7" t="s">
        <v>62</v>
      </c>
      <c r="E170" s="9">
        <v>112.28</v>
      </c>
      <c r="F170" s="7" t="s">
        <v>153</v>
      </c>
      <c r="G170" s="7" t="s">
        <v>24</v>
      </c>
      <c r="H170" s="7" t="s">
        <v>39</v>
      </c>
      <c r="I170" s="7" t="s">
        <v>39</v>
      </c>
      <c r="J170" s="7" t="s">
        <v>24</v>
      </c>
    </row>
    <row r="171" ht="14.25" customHeight="1">
      <c r="A171" s="7" t="s">
        <v>66</v>
      </c>
      <c r="B171" s="8">
        <f>VLOOKUP(A171,habs,2,0)</f>
        <v>1267</v>
      </c>
      <c r="C171" s="7" t="s">
        <v>21</v>
      </c>
      <c r="D171" s="7" t="s">
        <v>26</v>
      </c>
      <c r="E171" s="9">
        <v>186.96</v>
      </c>
      <c r="F171" s="7" t="s">
        <v>66</v>
      </c>
      <c r="G171" s="7" t="s">
        <v>24</v>
      </c>
      <c r="H171" s="7" t="s">
        <v>25</v>
      </c>
      <c r="I171" s="7" t="s">
        <v>23</v>
      </c>
      <c r="J171" s="7" t="s">
        <v>25</v>
      </c>
    </row>
    <row r="172" ht="14.25" customHeight="1">
      <c r="A172" s="7" t="s">
        <v>411</v>
      </c>
      <c r="B172" s="8">
        <f>VLOOKUP(A172,habs,2,0)</f>
        <v>1293</v>
      </c>
      <c r="C172" s="7" t="s">
        <v>109</v>
      </c>
      <c r="D172" s="7" t="s">
        <v>112</v>
      </c>
      <c r="E172" s="9">
        <v>51.96</v>
      </c>
      <c r="F172" s="7" t="s">
        <v>91</v>
      </c>
      <c r="G172" s="7" t="s">
        <v>91</v>
      </c>
      <c r="H172" s="7" t="s">
        <v>91</v>
      </c>
      <c r="I172" s="7" t="s">
        <v>91</v>
      </c>
      <c r="J172" s="7" t="s">
        <v>91</v>
      </c>
    </row>
    <row r="173" ht="14.25" customHeight="1">
      <c r="A173" s="7" t="s">
        <v>709</v>
      </c>
      <c r="B173" s="8">
        <f>VLOOKUP(A173,habs,2,0)</f>
        <v>1326</v>
      </c>
      <c r="C173" s="7" t="s">
        <v>109</v>
      </c>
      <c r="D173" s="7" t="s">
        <v>112</v>
      </c>
      <c r="E173" s="9">
        <v>39.07</v>
      </c>
      <c r="F173" s="7" t="s">
        <v>91</v>
      </c>
      <c r="G173" s="7" t="s">
        <v>91</v>
      </c>
      <c r="H173" s="7" t="s">
        <v>91</v>
      </c>
      <c r="I173" s="7" t="s">
        <v>598</v>
      </c>
      <c r="J173" s="7" t="s">
        <v>91</v>
      </c>
    </row>
    <row r="174" ht="14.25" customHeight="1">
      <c r="A174" s="7" t="s">
        <v>58</v>
      </c>
      <c r="B174" s="8">
        <f>VLOOKUP(A174,habs,2,0)</f>
        <v>1348</v>
      </c>
      <c r="C174" s="7" t="s">
        <v>59</v>
      </c>
      <c r="D174" s="7" t="s">
        <v>62</v>
      </c>
      <c r="E174" s="9">
        <v>551.99</v>
      </c>
      <c r="F174" s="7" t="s">
        <v>58</v>
      </c>
      <c r="G174" s="7" t="s">
        <v>24</v>
      </c>
      <c r="H174" s="7" t="s">
        <v>39</v>
      </c>
      <c r="I174" s="7" t="s">
        <v>61</v>
      </c>
      <c r="J174" s="7" t="s">
        <v>24</v>
      </c>
    </row>
    <row r="175" ht="14.25" customHeight="1">
      <c r="A175" s="7" t="s">
        <v>246</v>
      </c>
      <c r="B175" s="8">
        <f>VLOOKUP(A175,habs,2,0)</f>
        <v>1360</v>
      </c>
      <c r="C175" s="7" t="s">
        <v>109</v>
      </c>
      <c r="D175" s="7" t="s">
        <v>112</v>
      </c>
      <c r="E175" s="9">
        <v>111.82</v>
      </c>
      <c r="F175" s="7" t="s">
        <v>91</v>
      </c>
      <c r="G175" s="7" t="s">
        <v>91</v>
      </c>
      <c r="H175" s="7" t="s">
        <v>91</v>
      </c>
      <c r="I175" s="7" t="s">
        <v>91</v>
      </c>
      <c r="J175" s="7" t="s">
        <v>91</v>
      </c>
    </row>
    <row r="176" ht="14.25" customHeight="1">
      <c r="A176" s="7" t="s">
        <v>47</v>
      </c>
      <c r="B176" s="8">
        <f>VLOOKUP(A176,habs,2,0)</f>
        <v>1361</v>
      </c>
      <c r="C176" s="7" t="s">
        <v>48</v>
      </c>
      <c r="D176" s="7" t="s">
        <v>50</v>
      </c>
      <c r="E176" s="9">
        <v>52.07</v>
      </c>
      <c r="F176" s="7" t="s">
        <v>47</v>
      </c>
      <c r="G176" s="7" t="s">
        <v>16</v>
      </c>
      <c r="H176" s="7" t="s">
        <v>17</v>
      </c>
      <c r="I176" s="7" t="s">
        <v>17</v>
      </c>
      <c r="J176" s="7" t="s">
        <v>16</v>
      </c>
    </row>
    <row r="177" ht="14.25" customHeight="1">
      <c r="A177" s="7" t="s">
        <v>321</v>
      </c>
      <c r="B177" s="8">
        <f>VLOOKUP(A177,habs,2,0)</f>
        <v>1372</v>
      </c>
      <c r="C177" s="7" t="s">
        <v>29</v>
      </c>
      <c r="D177" s="7" t="s">
        <v>33</v>
      </c>
      <c r="E177" s="9">
        <v>94.17</v>
      </c>
      <c r="F177" s="7" t="s">
        <v>179</v>
      </c>
      <c r="G177" s="7" t="s">
        <v>32</v>
      </c>
      <c r="H177" s="7" t="s">
        <v>32</v>
      </c>
      <c r="I177" s="7" t="s">
        <v>31</v>
      </c>
      <c r="J177" s="7" t="s">
        <v>32</v>
      </c>
    </row>
    <row r="178" ht="14.25" customHeight="1">
      <c r="A178" s="7" t="s">
        <v>484</v>
      </c>
      <c r="B178" s="8">
        <f>VLOOKUP(A178,habs,2,0)</f>
        <v>1409</v>
      </c>
      <c r="C178" s="7" t="s">
        <v>109</v>
      </c>
      <c r="D178" s="7" t="s">
        <v>112</v>
      </c>
      <c r="E178" s="9">
        <v>92.06</v>
      </c>
      <c r="F178" s="7" t="s">
        <v>91</v>
      </c>
      <c r="G178" s="7" t="s">
        <v>91</v>
      </c>
      <c r="H178" s="7" t="s">
        <v>91</v>
      </c>
      <c r="I178" s="7" t="s">
        <v>91</v>
      </c>
      <c r="J178" s="7" t="s">
        <v>91</v>
      </c>
    </row>
    <row r="179" ht="14.25" customHeight="1">
      <c r="A179" s="7" t="s">
        <v>504</v>
      </c>
      <c r="B179" s="8">
        <f>VLOOKUP(A179,habs,2,0)</f>
        <v>1470</v>
      </c>
      <c r="C179" s="7" t="s">
        <v>129</v>
      </c>
      <c r="D179" s="7" t="s">
        <v>132</v>
      </c>
      <c r="E179" s="9">
        <v>36.38</v>
      </c>
      <c r="F179" s="7" t="s">
        <v>131</v>
      </c>
      <c r="G179" s="7" t="s">
        <v>16</v>
      </c>
      <c r="H179" s="7" t="s">
        <v>16</v>
      </c>
      <c r="I179" s="7" t="s">
        <v>16</v>
      </c>
      <c r="J179" s="7" t="s">
        <v>16</v>
      </c>
    </row>
    <row r="180" ht="14.25" customHeight="1">
      <c r="A180" s="7" t="s">
        <v>440</v>
      </c>
      <c r="B180" s="8">
        <f>VLOOKUP(A180,habs,2,0)</f>
        <v>1493</v>
      </c>
      <c r="C180" s="7" t="s">
        <v>201</v>
      </c>
      <c r="D180" s="7" t="s">
        <v>203</v>
      </c>
      <c r="E180" s="9">
        <v>259.18</v>
      </c>
      <c r="F180" s="7" t="s">
        <v>440</v>
      </c>
      <c r="G180" s="7" t="s">
        <v>16</v>
      </c>
      <c r="H180" s="7" t="s">
        <v>16</v>
      </c>
      <c r="I180" s="7" t="s">
        <v>16</v>
      </c>
      <c r="J180" s="7" t="s">
        <v>16</v>
      </c>
    </row>
    <row r="181" ht="14.25" customHeight="1">
      <c r="A181" s="7" t="s">
        <v>335</v>
      </c>
      <c r="B181" s="8">
        <f>VLOOKUP(A181,habs,2,0)</f>
        <v>1509</v>
      </c>
      <c r="C181" s="7" t="s">
        <v>43</v>
      </c>
      <c r="D181" s="7" t="s">
        <v>40</v>
      </c>
      <c r="E181" s="9">
        <v>63.71</v>
      </c>
      <c r="F181" s="7" t="s">
        <v>45</v>
      </c>
      <c r="G181" s="7" t="s">
        <v>16</v>
      </c>
      <c r="H181" s="7" t="s">
        <v>32</v>
      </c>
      <c r="I181" s="7" t="s">
        <v>32</v>
      </c>
      <c r="J181" s="7" t="s">
        <v>32</v>
      </c>
    </row>
    <row r="182" ht="14.25" customHeight="1">
      <c r="A182" s="7" t="s">
        <v>400</v>
      </c>
      <c r="B182" s="8">
        <f>VLOOKUP(A182,habs,2,0)</f>
        <v>1542</v>
      </c>
      <c r="C182" s="7" t="s">
        <v>87</v>
      </c>
      <c r="D182" s="7" t="s">
        <v>92</v>
      </c>
      <c r="E182" s="9">
        <v>41.62</v>
      </c>
      <c r="F182" s="7" t="s">
        <v>402</v>
      </c>
      <c r="G182" s="7" t="s">
        <v>91</v>
      </c>
      <c r="H182" s="7" t="s">
        <v>90</v>
      </c>
      <c r="I182" s="7" t="s">
        <v>90</v>
      </c>
      <c r="J182" s="7" t="s">
        <v>91</v>
      </c>
    </row>
    <row r="183" ht="14.25" customHeight="1">
      <c r="A183" s="7" t="s">
        <v>263</v>
      </c>
      <c r="B183" s="8">
        <f>VLOOKUP(A183,habs,2,0)</f>
        <v>1562</v>
      </c>
      <c r="C183" s="7" t="s">
        <v>29</v>
      </c>
      <c r="D183" s="7" t="s">
        <v>33</v>
      </c>
      <c r="E183" s="9">
        <v>208.94</v>
      </c>
      <c r="F183" s="7" t="s">
        <v>31</v>
      </c>
      <c r="G183" s="7" t="s">
        <v>32</v>
      </c>
      <c r="H183" s="7" t="s">
        <v>32</v>
      </c>
      <c r="I183" s="7" t="s">
        <v>31</v>
      </c>
      <c r="J183" s="7" t="s">
        <v>32</v>
      </c>
    </row>
    <row r="184" ht="14.25" customHeight="1">
      <c r="A184" s="7" t="s">
        <v>447</v>
      </c>
      <c r="B184" s="8">
        <f>VLOOKUP(A184,habs,2,0)</f>
        <v>1598</v>
      </c>
      <c r="C184" s="7" t="s">
        <v>53</v>
      </c>
      <c r="D184" s="7" t="s">
        <v>56</v>
      </c>
      <c r="E184" s="9">
        <v>112.65</v>
      </c>
      <c r="F184" s="7" t="s">
        <v>68</v>
      </c>
      <c r="G184" s="7" t="s">
        <v>24</v>
      </c>
      <c r="H184" s="7" t="s">
        <v>24</v>
      </c>
      <c r="I184" s="7" t="s">
        <v>24</v>
      </c>
      <c r="J184" s="7" t="s">
        <v>24</v>
      </c>
    </row>
    <row r="185" ht="14.25" customHeight="1">
      <c r="A185" s="7" t="s">
        <v>197</v>
      </c>
      <c r="B185" s="8">
        <f>VLOOKUP(A185,habs,2,0)</f>
        <v>1615</v>
      </c>
      <c r="C185" s="7" t="s">
        <v>72</v>
      </c>
      <c r="D185" s="7" t="s">
        <v>76</v>
      </c>
      <c r="E185" s="9">
        <v>151.44</v>
      </c>
      <c r="F185" s="7" t="s">
        <v>25</v>
      </c>
      <c r="G185" s="7" t="s">
        <v>24</v>
      </c>
      <c r="H185" s="7" t="s">
        <v>25</v>
      </c>
      <c r="I185" s="7" t="s">
        <v>75</v>
      </c>
      <c r="J185" s="7" t="s">
        <v>25</v>
      </c>
    </row>
    <row r="186" ht="14.25" customHeight="1">
      <c r="A186" s="7" t="s">
        <v>108</v>
      </c>
      <c r="B186" s="8">
        <f>VLOOKUP(A186,habs,2,0)</f>
        <v>1647</v>
      </c>
      <c r="C186" s="7" t="s">
        <v>109</v>
      </c>
      <c r="D186" s="7" t="s">
        <v>112</v>
      </c>
      <c r="E186" s="9">
        <v>33.9</v>
      </c>
      <c r="F186" s="7" t="s">
        <v>111</v>
      </c>
      <c r="G186" s="7" t="s">
        <v>91</v>
      </c>
      <c r="H186" s="7" t="s">
        <v>91</v>
      </c>
      <c r="I186" s="7" t="s">
        <v>91</v>
      </c>
      <c r="J186" s="7" t="s">
        <v>91</v>
      </c>
    </row>
    <row r="187" ht="14.25" customHeight="1">
      <c r="A187" s="7" t="s">
        <v>635</v>
      </c>
      <c r="B187" s="8">
        <f>VLOOKUP(A187,habs,2,0)</f>
        <v>1682</v>
      </c>
      <c r="C187" s="7" t="s">
        <v>53</v>
      </c>
      <c r="D187" s="7" t="s">
        <v>56</v>
      </c>
      <c r="E187" s="9">
        <v>28.77</v>
      </c>
      <c r="F187" s="7" t="s">
        <v>637</v>
      </c>
      <c r="G187" s="7" t="s">
        <v>24</v>
      </c>
      <c r="H187" s="7" t="s">
        <v>24</v>
      </c>
      <c r="I187" s="7" t="s">
        <v>24</v>
      </c>
      <c r="J187" s="7" t="s">
        <v>24</v>
      </c>
    </row>
    <row r="188" ht="14.25" customHeight="1">
      <c r="A188" s="7" t="s">
        <v>104</v>
      </c>
      <c r="B188" s="8">
        <f>VLOOKUP(A188,habs,2,0)</f>
        <v>1710</v>
      </c>
      <c r="C188" s="7" t="s">
        <v>59</v>
      </c>
      <c r="D188" s="7" t="s">
        <v>62</v>
      </c>
      <c r="E188" s="9">
        <v>80.51</v>
      </c>
      <c r="F188" s="7" t="s">
        <v>106</v>
      </c>
      <c r="G188" s="7" t="s">
        <v>24</v>
      </c>
      <c r="H188" s="7" t="s">
        <v>24</v>
      </c>
      <c r="I188" s="7" t="s">
        <v>24</v>
      </c>
      <c r="J188" s="7" t="s">
        <v>24</v>
      </c>
    </row>
    <row r="189" ht="14.25" customHeight="1">
      <c r="A189" s="7" t="s">
        <v>404</v>
      </c>
      <c r="B189" s="8">
        <f>VLOOKUP(A189,habs,2,0)</f>
        <v>1712</v>
      </c>
      <c r="C189" s="7" t="s">
        <v>21</v>
      </c>
      <c r="D189" s="7" t="s">
        <v>406</v>
      </c>
      <c r="E189" s="9">
        <v>100.8</v>
      </c>
      <c r="F189" s="7" t="s">
        <v>66</v>
      </c>
      <c r="G189" s="7" t="s">
        <v>24</v>
      </c>
      <c r="H189" s="7" t="s">
        <v>25</v>
      </c>
      <c r="I189" s="7" t="s">
        <v>23</v>
      </c>
      <c r="J189" s="7" t="s">
        <v>25</v>
      </c>
    </row>
    <row r="190" ht="14.25" customHeight="1">
      <c r="A190" s="7" t="s">
        <v>39</v>
      </c>
      <c r="B190" s="8">
        <f>VLOOKUP(A190,habs,2,0)</f>
        <v>1734</v>
      </c>
      <c r="C190" s="7" t="s">
        <v>59</v>
      </c>
      <c r="D190" s="7" t="s">
        <v>62</v>
      </c>
      <c r="E190" s="9">
        <v>398.84</v>
      </c>
      <c r="F190" s="7" t="s">
        <v>153</v>
      </c>
      <c r="G190" s="7" t="s">
        <v>24</v>
      </c>
      <c r="H190" s="7" t="s">
        <v>39</v>
      </c>
      <c r="I190" s="7" t="s">
        <v>39</v>
      </c>
      <c r="J190" s="7" t="s">
        <v>24</v>
      </c>
    </row>
    <row r="191" ht="14.25" customHeight="1">
      <c r="A191" s="7" t="s">
        <v>187</v>
      </c>
      <c r="B191" s="8">
        <f>VLOOKUP(A191,habs,2,0)</f>
        <v>1749</v>
      </c>
      <c r="C191" s="7" t="s">
        <v>185</v>
      </c>
      <c r="D191" s="7" t="s">
        <v>189</v>
      </c>
      <c r="E191" s="9">
        <v>146.83</v>
      </c>
      <c r="F191" s="7" t="s">
        <v>187</v>
      </c>
      <c r="G191" s="7" t="s">
        <v>16</v>
      </c>
      <c r="H191" s="7" t="s">
        <v>17</v>
      </c>
      <c r="I191" s="7" t="s">
        <v>188</v>
      </c>
      <c r="J191" s="7" t="s">
        <v>16</v>
      </c>
    </row>
    <row r="192" ht="14.25" customHeight="1">
      <c r="A192" s="7" t="s">
        <v>38</v>
      </c>
      <c r="B192" s="8">
        <f>VLOOKUP(A192,habs,2,0)</f>
        <v>1780</v>
      </c>
      <c r="C192" s="7" t="s">
        <v>36</v>
      </c>
      <c r="D192" s="7" t="s">
        <v>40</v>
      </c>
      <c r="E192" s="9">
        <v>159.49</v>
      </c>
      <c r="F192" s="7" t="s">
        <v>38</v>
      </c>
      <c r="G192" s="7" t="s">
        <v>32</v>
      </c>
      <c r="H192" s="7" t="s">
        <v>39</v>
      </c>
      <c r="I192" s="7" t="s">
        <v>32</v>
      </c>
      <c r="J192" s="7" t="s">
        <v>24</v>
      </c>
    </row>
    <row r="193" ht="14.25" customHeight="1">
      <c r="A193" s="7" t="s">
        <v>102</v>
      </c>
      <c r="B193" s="8">
        <f>VLOOKUP(A193,habs,2,0)</f>
        <v>1787</v>
      </c>
      <c r="C193" s="7" t="s">
        <v>72</v>
      </c>
      <c r="D193" s="7" t="s">
        <v>76</v>
      </c>
      <c r="E193" s="9">
        <v>68.19</v>
      </c>
      <c r="F193" s="7" t="s">
        <v>102</v>
      </c>
      <c r="G193" s="7" t="s">
        <v>24</v>
      </c>
      <c r="H193" s="7" t="s">
        <v>25</v>
      </c>
      <c r="I193" s="7" t="s">
        <v>75</v>
      </c>
      <c r="J193" s="7" t="s">
        <v>25</v>
      </c>
    </row>
    <row r="194" ht="14.25" customHeight="1">
      <c r="A194" s="7" t="s">
        <v>114</v>
      </c>
      <c r="B194" s="8">
        <f>VLOOKUP(A194,habs,2,0)</f>
        <v>1799</v>
      </c>
      <c r="C194" s="7" t="s">
        <v>53</v>
      </c>
      <c r="D194" s="7" t="s">
        <v>56</v>
      </c>
      <c r="E194" s="9">
        <v>93.67</v>
      </c>
      <c r="F194" s="7" t="s">
        <v>23</v>
      </c>
      <c r="G194" s="7" t="s">
        <v>24</v>
      </c>
      <c r="H194" s="7" t="s">
        <v>75</v>
      </c>
      <c r="I194" s="7" t="s">
        <v>23</v>
      </c>
      <c r="J194" s="7" t="s">
        <v>24</v>
      </c>
    </row>
    <row r="195" ht="14.25" customHeight="1">
      <c r="A195" s="7" t="s">
        <v>698</v>
      </c>
      <c r="B195" s="8">
        <f>VLOOKUP(A195,habs,2,0)</f>
        <v>1799</v>
      </c>
      <c r="C195" s="7" t="s">
        <v>48</v>
      </c>
      <c r="D195" s="7" t="s">
        <v>50</v>
      </c>
      <c r="E195" s="9">
        <v>133.56</v>
      </c>
      <c r="F195" s="7" t="s">
        <v>15</v>
      </c>
      <c r="G195" s="7" t="s">
        <v>16</v>
      </c>
      <c r="H195" s="7" t="s">
        <v>17</v>
      </c>
      <c r="I195" s="7" t="s">
        <v>17</v>
      </c>
      <c r="J195" s="7" t="s">
        <v>16</v>
      </c>
    </row>
    <row r="196" ht="14.25" customHeight="1">
      <c r="A196" s="7" t="s">
        <v>25</v>
      </c>
      <c r="B196" s="8">
        <f>VLOOKUP(A196,habs,2,0)</f>
        <v>1913</v>
      </c>
      <c r="C196" s="7" t="s">
        <v>72</v>
      </c>
      <c r="D196" s="7" t="s">
        <v>76</v>
      </c>
      <c r="E196" s="9">
        <v>365.3</v>
      </c>
      <c r="F196" s="7" t="s">
        <v>25</v>
      </c>
      <c r="G196" s="7" t="s">
        <v>24</v>
      </c>
      <c r="H196" s="7" t="s">
        <v>25</v>
      </c>
      <c r="I196" s="7" t="s">
        <v>75</v>
      </c>
      <c r="J196" s="7" t="s">
        <v>25</v>
      </c>
    </row>
    <row r="197" ht="14.25" customHeight="1">
      <c r="A197" s="7" t="s">
        <v>315</v>
      </c>
      <c r="B197" s="8">
        <f>VLOOKUP(A197,habs,2,0)</f>
        <v>1974</v>
      </c>
      <c r="C197" s="7" t="s">
        <v>59</v>
      </c>
      <c r="D197" s="7" t="s">
        <v>62</v>
      </c>
      <c r="E197" s="9">
        <v>206.85</v>
      </c>
      <c r="F197" s="7" t="s">
        <v>153</v>
      </c>
      <c r="G197" s="7" t="s">
        <v>24</v>
      </c>
      <c r="H197" s="7" t="s">
        <v>24</v>
      </c>
      <c r="I197" s="7" t="s">
        <v>24</v>
      </c>
      <c r="J197" s="7" t="s">
        <v>24</v>
      </c>
    </row>
    <row r="198" ht="14.25" customHeight="1">
      <c r="A198" s="7" t="s">
        <v>86</v>
      </c>
      <c r="B198" s="8">
        <f>VLOOKUP(A198,habs,2,0)</f>
        <v>2015</v>
      </c>
      <c r="C198" s="7" t="s">
        <v>87</v>
      </c>
      <c r="D198" s="7" t="s">
        <v>92</v>
      </c>
      <c r="E198" s="9">
        <v>37.6</v>
      </c>
      <c r="F198" s="7" t="s">
        <v>89</v>
      </c>
      <c r="G198" s="7" t="s">
        <v>16</v>
      </c>
      <c r="H198" s="7" t="s">
        <v>90</v>
      </c>
      <c r="I198" s="7" t="s">
        <v>90</v>
      </c>
      <c r="J198" s="7" t="s">
        <v>91</v>
      </c>
    </row>
    <row r="199" ht="14.25" customHeight="1">
      <c r="A199" s="7" t="s">
        <v>590</v>
      </c>
      <c r="B199" s="8">
        <f>VLOOKUP(A199,habs,2,0)</f>
        <v>2020</v>
      </c>
      <c r="C199" s="7" t="s">
        <v>53</v>
      </c>
      <c r="D199" s="7" t="s">
        <v>56</v>
      </c>
      <c r="E199" s="9">
        <v>25.21</v>
      </c>
      <c r="F199" s="7" t="s">
        <v>220</v>
      </c>
      <c r="G199" s="7" t="s">
        <v>24</v>
      </c>
      <c r="H199" s="7" t="s">
        <v>24</v>
      </c>
      <c r="I199" s="7" t="s">
        <v>24</v>
      </c>
      <c r="J199" s="7" t="s">
        <v>24</v>
      </c>
    </row>
    <row r="200" ht="14.25" customHeight="1">
      <c r="A200" s="7" t="s">
        <v>457</v>
      </c>
      <c r="B200" s="8">
        <f>VLOOKUP(A200,habs,2,0)</f>
        <v>2065</v>
      </c>
      <c r="C200" s="7" t="s">
        <v>129</v>
      </c>
      <c r="D200" s="7" t="s">
        <v>132</v>
      </c>
      <c r="E200" s="9">
        <v>51.39</v>
      </c>
      <c r="F200" s="7" t="s">
        <v>162</v>
      </c>
      <c r="G200" s="7" t="s">
        <v>16</v>
      </c>
      <c r="H200" s="7" t="s">
        <v>16</v>
      </c>
      <c r="I200" s="7" t="s">
        <v>16</v>
      </c>
      <c r="J200" s="7" t="s">
        <v>16</v>
      </c>
    </row>
    <row r="201" ht="14.25" customHeight="1">
      <c r="A201" s="7" t="s">
        <v>402</v>
      </c>
      <c r="B201" s="8">
        <f>VLOOKUP(A201,habs,2,0)</f>
        <v>2087</v>
      </c>
      <c r="C201" s="7" t="s">
        <v>87</v>
      </c>
      <c r="D201" s="7" t="s">
        <v>92</v>
      </c>
      <c r="E201" s="9">
        <v>129.65</v>
      </c>
      <c r="F201" s="7" t="s">
        <v>402</v>
      </c>
      <c r="G201" s="7" t="s">
        <v>91</v>
      </c>
      <c r="H201" s="7" t="s">
        <v>90</v>
      </c>
      <c r="I201" s="7" t="s">
        <v>90</v>
      </c>
      <c r="J201" s="7" t="s">
        <v>91</v>
      </c>
    </row>
    <row r="202" ht="14.25" customHeight="1">
      <c r="A202" s="7" t="s">
        <v>288</v>
      </c>
      <c r="B202" s="8">
        <f>VLOOKUP(A202,habs,2,0)</f>
        <v>2106</v>
      </c>
      <c r="C202" s="7" t="s">
        <v>29</v>
      </c>
      <c r="D202" s="7" t="s">
        <v>33</v>
      </c>
      <c r="E202" s="9">
        <v>196.97</v>
      </c>
      <c r="F202" s="7" t="s">
        <v>288</v>
      </c>
      <c r="G202" s="7" t="s">
        <v>32</v>
      </c>
      <c r="H202" s="7" t="s">
        <v>32</v>
      </c>
      <c r="I202" s="7" t="s">
        <v>31</v>
      </c>
      <c r="J202" s="7" t="s">
        <v>32</v>
      </c>
    </row>
    <row r="203" ht="14.25" customHeight="1">
      <c r="A203" s="7" t="s">
        <v>162</v>
      </c>
      <c r="B203" s="8">
        <f>VLOOKUP(A203,habs,2,0)</f>
        <v>2149</v>
      </c>
      <c r="C203" s="7" t="s">
        <v>129</v>
      </c>
      <c r="D203" s="7" t="s">
        <v>132</v>
      </c>
      <c r="E203" s="9">
        <v>56.57</v>
      </c>
      <c r="F203" s="7" t="s">
        <v>162</v>
      </c>
      <c r="G203" s="7" t="s">
        <v>16</v>
      </c>
      <c r="H203" s="7" t="s">
        <v>16</v>
      </c>
      <c r="I203" s="7" t="s">
        <v>16</v>
      </c>
      <c r="J203" s="7" t="s">
        <v>16</v>
      </c>
    </row>
    <row r="204" ht="14.25" customHeight="1">
      <c r="A204" s="7" t="s">
        <v>408</v>
      </c>
      <c r="B204" s="8">
        <f>VLOOKUP(A204,habs,2,0)</f>
        <v>2357</v>
      </c>
      <c r="C204" s="7" t="s">
        <v>82</v>
      </c>
      <c r="D204" s="7" t="s">
        <v>26</v>
      </c>
      <c r="E204" s="9">
        <v>132.9</v>
      </c>
      <c r="F204" s="7" t="s">
        <v>74</v>
      </c>
      <c r="G204" s="7" t="s">
        <v>24</v>
      </c>
      <c r="H204" s="7" t="s">
        <v>75</v>
      </c>
      <c r="I204" s="7" t="s">
        <v>75</v>
      </c>
      <c r="J204" s="7" t="s">
        <v>75</v>
      </c>
    </row>
    <row r="205" ht="14.25" customHeight="1">
      <c r="A205" s="7" t="s">
        <v>68</v>
      </c>
      <c r="B205" s="8">
        <f>VLOOKUP(A205,habs,2,0)</f>
        <v>2459</v>
      </c>
      <c r="C205" s="7" t="s">
        <v>53</v>
      </c>
      <c r="D205" s="7" t="s">
        <v>56</v>
      </c>
      <c r="E205" s="9">
        <v>108.93</v>
      </c>
      <c r="F205" s="7" t="s">
        <v>68</v>
      </c>
      <c r="G205" s="7" t="s">
        <v>24</v>
      </c>
      <c r="H205" s="7" t="s">
        <v>24</v>
      </c>
      <c r="I205" s="7" t="s">
        <v>24</v>
      </c>
      <c r="J205" s="7" t="s">
        <v>24</v>
      </c>
    </row>
    <row r="206" ht="14.25" customHeight="1">
      <c r="A206" s="7" t="s">
        <v>343</v>
      </c>
      <c r="B206" s="8">
        <f>VLOOKUP(A206,habs,2,0)</f>
        <v>2718</v>
      </c>
      <c r="C206" s="7" t="s">
        <v>87</v>
      </c>
      <c r="D206" s="7" t="s">
        <v>92</v>
      </c>
      <c r="E206" s="9">
        <v>82.07</v>
      </c>
      <c r="F206" s="7" t="s">
        <v>343</v>
      </c>
      <c r="G206" s="7" t="s">
        <v>91</v>
      </c>
      <c r="H206" s="7" t="s">
        <v>90</v>
      </c>
      <c r="I206" s="7" t="s">
        <v>90</v>
      </c>
      <c r="J206" s="7" t="s">
        <v>91</v>
      </c>
    </row>
    <row r="207" ht="14.25" customHeight="1">
      <c r="A207" s="7" t="s">
        <v>175</v>
      </c>
      <c r="B207" s="8">
        <f>VLOOKUP(A207,habs,2,0)</f>
        <v>2819</v>
      </c>
      <c r="C207" s="7" t="s">
        <v>36</v>
      </c>
      <c r="D207" s="7" t="s">
        <v>40</v>
      </c>
      <c r="E207" s="9">
        <v>94.53</v>
      </c>
      <c r="F207" s="7" t="s">
        <v>175</v>
      </c>
      <c r="G207" s="7" t="s">
        <v>32</v>
      </c>
      <c r="H207" s="7" t="s">
        <v>32</v>
      </c>
      <c r="I207" s="7" t="s">
        <v>32</v>
      </c>
      <c r="J207" s="7" t="s">
        <v>32</v>
      </c>
    </row>
    <row r="208" ht="14.25" customHeight="1">
      <c r="A208" s="7" t="s">
        <v>384</v>
      </c>
      <c r="B208" s="8">
        <f>VLOOKUP(A208,habs,2,0)</f>
        <v>2845</v>
      </c>
      <c r="C208" s="7" t="s">
        <v>87</v>
      </c>
      <c r="D208" s="7" t="s">
        <v>92</v>
      </c>
      <c r="E208" s="9">
        <v>61.51</v>
      </c>
      <c r="F208" s="7" t="s">
        <v>343</v>
      </c>
      <c r="G208" s="7" t="s">
        <v>91</v>
      </c>
      <c r="H208" s="7" t="s">
        <v>90</v>
      </c>
      <c r="I208" s="7" t="s">
        <v>90</v>
      </c>
      <c r="J208" s="7" t="s">
        <v>91</v>
      </c>
    </row>
    <row r="209" ht="14.25" customHeight="1">
      <c r="A209" s="7" t="s">
        <v>17</v>
      </c>
      <c r="B209" s="8">
        <f>VLOOKUP(A209,habs,2,0)</f>
        <v>3907</v>
      </c>
      <c r="C209" s="7" t="s">
        <v>13</v>
      </c>
      <c r="D209" s="7" t="s">
        <v>18</v>
      </c>
      <c r="E209" s="9">
        <v>59.77</v>
      </c>
      <c r="F209" s="7" t="s">
        <v>17</v>
      </c>
      <c r="G209" s="7" t="s">
        <v>16</v>
      </c>
      <c r="H209" s="7" t="s">
        <v>17</v>
      </c>
      <c r="I209" s="7" t="s">
        <v>17</v>
      </c>
      <c r="J209" s="7" t="s">
        <v>16</v>
      </c>
    </row>
    <row r="210" ht="14.25" customHeight="1">
      <c r="A210" s="7" t="s">
        <v>414</v>
      </c>
      <c r="B210" s="8">
        <f>VLOOKUP(A210,habs,2,0)</f>
        <v>4086</v>
      </c>
      <c r="C210" s="7" t="s">
        <v>59</v>
      </c>
      <c r="D210" s="7" t="s">
        <v>62</v>
      </c>
      <c r="E210" s="9">
        <v>32.16</v>
      </c>
      <c r="F210" s="7" t="s">
        <v>416</v>
      </c>
      <c r="G210" s="7" t="s">
        <v>24</v>
      </c>
      <c r="H210" s="7" t="s">
        <v>24</v>
      </c>
      <c r="I210" s="7" t="s">
        <v>24</v>
      </c>
      <c r="J210" s="7" t="s">
        <v>24</v>
      </c>
    </row>
    <row r="211" ht="14.25" customHeight="1">
      <c r="A211" s="7" t="s">
        <v>218</v>
      </c>
      <c r="B211" s="8">
        <f>VLOOKUP(A211,habs,2,0)</f>
        <v>4431</v>
      </c>
      <c r="C211" s="7" t="s">
        <v>59</v>
      </c>
      <c r="D211" s="7" t="s">
        <v>62</v>
      </c>
      <c r="E211" s="9">
        <v>130.29</v>
      </c>
      <c r="F211" s="7" t="s">
        <v>220</v>
      </c>
      <c r="G211" s="7" t="s">
        <v>24</v>
      </c>
      <c r="H211" s="7" t="s">
        <v>24</v>
      </c>
      <c r="I211" s="7" t="s">
        <v>24</v>
      </c>
      <c r="J211" s="7" t="s">
        <v>24</v>
      </c>
    </row>
    <row r="212" ht="14.25" customHeight="1">
      <c r="A212" s="7" t="s">
        <v>418</v>
      </c>
      <c r="B212" s="8">
        <f>VLOOKUP(A212,habs,2,0)</f>
        <v>4618</v>
      </c>
      <c r="C212" s="7" t="s">
        <v>201</v>
      </c>
      <c r="D212" s="7" t="s">
        <v>203</v>
      </c>
      <c r="E212" s="9">
        <v>372.64</v>
      </c>
      <c r="F212" s="7" t="s">
        <v>98</v>
      </c>
      <c r="G212" s="7" t="s">
        <v>16</v>
      </c>
      <c r="H212" s="7" t="s">
        <v>16</v>
      </c>
      <c r="I212" s="7" t="s">
        <v>16</v>
      </c>
      <c r="J212" s="7" t="s">
        <v>16</v>
      </c>
    </row>
    <row r="213" ht="14.25" customHeight="1">
      <c r="A213" s="7" t="s">
        <v>61</v>
      </c>
      <c r="B213" s="8">
        <f>VLOOKUP(A213,habs,2,0)</f>
        <v>5236</v>
      </c>
      <c r="C213" s="7" t="s">
        <v>206</v>
      </c>
      <c r="D213" s="7" t="s">
        <v>209</v>
      </c>
      <c r="E213" s="9">
        <v>594.83</v>
      </c>
      <c r="F213" s="7" t="s">
        <v>61</v>
      </c>
      <c r="G213" s="7" t="s">
        <v>24</v>
      </c>
      <c r="H213" s="7" t="s">
        <v>61</v>
      </c>
      <c r="I213" s="7" t="s">
        <v>61</v>
      </c>
      <c r="J213" s="7" t="s">
        <v>61</v>
      </c>
    </row>
    <row r="214" ht="14.25" customHeight="1">
      <c r="A214" s="7" t="s">
        <v>106</v>
      </c>
      <c r="B214" s="8">
        <f>VLOOKUP(A214,habs,2,0)</f>
        <v>5565</v>
      </c>
      <c r="C214" s="7" t="s">
        <v>59</v>
      </c>
      <c r="D214" s="7" t="s">
        <v>62</v>
      </c>
      <c r="E214" s="9">
        <v>128.05</v>
      </c>
      <c r="F214" s="7" t="s">
        <v>106</v>
      </c>
      <c r="G214" s="7" t="s">
        <v>24</v>
      </c>
      <c r="H214" s="7" t="s">
        <v>24</v>
      </c>
      <c r="I214" s="7" t="s">
        <v>24</v>
      </c>
      <c r="J214" s="7" t="s">
        <v>24</v>
      </c>
    </row>
    <row r="215" ht="14.25" customHeight="1">
      <c r="A215" s="7" t="s">
        <v>45</v>
      </c>
      <c r="B215" s="8">
        <f>VLOOKUP(A215,habs,2,0)</f>
        <v>5619</v>
      </c>
      <c r="C215" s="7" t="s">
        <v>43</v>
      </c>
      <c r="D215" s="7" t="s">
        <v>40</v>
      </c>
      <c r="E215" s="9">
        <v>95.0</v>
      </c>
      <c r="F215" s="7" t="s">
        <v>45</v>
      </c>
      <c r="G215" s="7" t="s">
        <v>16</v>
      </c>
      <c r="H215" s="7" t="s">
        <v>16</v>
      </c>
      <c r="I215" s="7" t="s">
        <v>16</v>
      </c>
      <c r="J215" s="7" t="s">
        <v>16</v>
      </c>
    </row>
    <row r="216" ht="14.25" customHeight="1">
      <c r="A216" s="7" t="s">
        <v>374</v>
      </c>
      <c r="B216" s="8">
        <f>VLOOKUP(A216,habs,2,0)</f>
        <v>6585</v>
      </c>
      <c r="C216" s="7" t="s">
        <v>168</v>
      </c>
      <c r="D216" s="7" t="s">
        <v>33</v>
      </c>
      <c r="E216" s="9">
        <v>147.6</v>
      </c>
      <c r="F216" s="7" t="s">
        <v>374</v>
      </c>
      <c r="G216" s="7" t="s">
        <v>32</v>
      </c>
      <c r="H216" s="7" t="s">
        <v>32</v>
      </c>
      <c r="I216" s="7" t="s">
        <v>32</v>
      </c>
      <c r="J216" s="7" t="s">
        <v>32</v>
      </c>
    </row>
    <row r="217" ht="14.25" customHeight="1">
      <c r="A217" s="7" t="s">
        <v>90</v>
      </c>
      <c r="B217" s="8">
        <f>VLOOKUP(A217,habs,2,0)</f>
        <v>6664</v>
      </c>
      <c r="C217" s="7" t="s">
        <v>87</v>
      </c>
      <c r="D217" s="7" t="s">
        <v>92</v>
      </c>
      <c r="E217" s="9">
        <v>62.52</v>
      </c>
      <c r="F217" s="7" t="s">
        <v>89</v>
      </c>
      <c r="G217" s="7" t="s">
        <v>16</v>
      </c>
      <c r="H217" s="7" t="s">
        <v>90</v>
      </c>
      <c r="I217" s="7" t="s">
        <v>90</v>
      </c>
      <c r="J217" s="7" t="s">
        <v>16</v>
      </c>
    </row>
    <row r="218" ht="14.25" customHeight="1">
      <c r="A218" s="7" t="s">
        <v>598</v>
      </c>
      <c r="B218" s="8">
        <f>VLOOKUP(A218,habs,2,0)</f>
        <v>7273</v>
      </c>
      <c r="C218" s="7" t="s">
        <v>109</v>
      </c>
      <c r="D218" s="7" t="s">
        <v>112</v>
      </c>
      <c r="E218" s="9">
        <v>181.46</v>
      </c>
      <c r="F218" s="7" t="s">
        <v>598</v>
      </c>
      <c r="G218" s="7" t="s">
        <v>91</v>
      </c>
      <c r="H218" s="7" t="s">
        <v>91</v>
      </c>
      <c r="I218" s="7" t="s">
        <v>598</v>
      </c>
      <c r="J218" s="7" t="s">
        <v>91</v>
      </c>
    </row>
    <row r="219" ht="14.25" customHeight="1">
      <c r="A219" s="7" t="s">
        <v>75</v>
      </c>
      <c r="B219" s="8">
        <f>VLOOKUP(A219,habs,2,0)</f>
        <v>8605</v>
      </c>
      <c r="C219" s="7" t="s">
        <v>82</v>
      </c>
      <c r="D219" s="7" t="s">
        <v>26</v>
      </c>
      <c r="E219" s="9">
        <v>649.53</v>
      </c>
      <c r="F219" s="7" t="s">
        <v>84</v>
      </c>
      <c r="G219" s="7" t="s">
        <v>24</v>
      </c>
      <c r="H219" s="7" t="s">
        <v>75</v>
      </c>
      <c r="I219" s="7" t="s">
        <v>75</v>
      </c>
      <c r="J219" s="7" t="s">
        <v>75</v>
      </c>
    </row>
    <row r="220" ht="14.25" customHeight="1">
      <c r="A220" s="7" t="s">
        <v>23</v>
      </c>
      <c r="B220" s="8">
        <f>VLOOKUP(A220,habs,2,0)</f>
        <v>9359</v>
      </c>
      <c r="C220" s="7" t="s">
        <v>21</v>
      </c>
      <c r="D220" s="7" t="s">
        <v>26</v>
      </c>
      <c r="E220" s="9">
        <v>120.75</v>
      </c>
      <c r="F220" s="7" t="s">
        <v>23</v>
      </c>
      <c r="G220" s="7" t="s">
        <v>24</v>
      </c>
      <c r="H220" s="7" t="s">
        <v>75</v>
      </c>
      <c r="I220" s="7" t="s">
        <v>23</v>
      </c>
      <c r="J220" s="7" t="s">
        <v>75</v>
      </c>
    </row>
    <row r="221" ht="14.25" customHeight="1">
      <c r="A221" s="7" t="s">
        <v>32</v>
      </c>
      <c r="B221" s="8">
        <f>VLOOKUP(A221,habs,2,0)</f>
        <v>12166</v>
      </c>
      <c r="C221" s="7" t="s">
        <v>168</v>
      </c>
      <c r="D221" s="7" t="s">
        <v>40</v>
      </c>
      <c r="E221" s="9">
        <v>103.46</v>
      </c>
      <c r="F221" s="7" t="s">
        <v>32</v>
      </c>
      <c r="G221" s="7" t="s">
        <v>32</v>
      </c>
      <c r="H221" s="7" t="s">
        <v>32</v>
      </c>
      <c r="I221" s="7" t="s">
        <v>32</v>
      </c>
      <c r="J221" s="7" t="s">
        <v>32</v>
      </c>
    </row>
    <row r="222" ht="14.25" customHeight="1">
      <c r="A222" s="7" t="s">
        <v>91</v>
      </c>
      <c r="B222" s="8">
        <f>VLOOKUP(A222,habs,2,0)</f>
        <v>16895</v>
      </c>
      <c r="C222" s="7" t="s">
        <v>168</v>
      </c>
      <c r="D222" s="7" t="s">
        <v>112</v>
      </c>
      <c r="E222" s="9">
        <v>155.95</v>
      </c>
      <c r="F222" s="7" t="s">
        <v>91</v>
      </c>
      <c r="G222" s="7" t="s">
        <v>91</v>
      </c>
      <c r="H222" s="7" t="s">
        <v>91</v>
      </c>
      <c r="I222" s="7" t="s">
        <v>91</v>
      </c>
      <c r="J222" s="7" t="s">
        <v>91</v>
      </c>
    </row>
    <row r="223" ht="14.25" customHeight="1">
      <c r="A223" s="7" t="s">
        <v>16</v>
      </c>
      <c r="B223" s="8">
        <f>VLOOKUP(A223,habs,2,0)</f>
        <v>39412</v>
      </c>
      <c r="C223" s="7" t="s">
        <v>168</v>
      </c>
      <c r="D223" s="7" t="s">
        <v>171</v>
      </c>
      <c r="E223" s="9">
        <v>217.93</v>
      </c>
      <c r="F223" s="7" t="s">
        <v>313</v>
      </c>
      <c r="G223" s="7" t="s">
        <v>16</v>
      </c>
      <c r="H223" s="7" t="s">
        <v>16</v>
      </c>
      <c r="I223" s="7" t="s">
        <v>16</v>
      </c>
      <c r="J223" s="7" t="s">
        <v>16</v>
      </c>
    </row>
    <row r="224" ht="14.25" customHeight="1">
      <c r="A224" s="7" t="s">
        <v>24</v>
      </c>
      <c r="B224" s="8">
        <f>VLOOKUP(A224,habs,2,0)</f>
        <v>96215</v>
      </c>
      <c r="C224" s="7" t="s">
        <v>168</v>
      </c>
      <c r="D224" s="7" t="s">
        <v>171</v>
      </c>
      <c r="E224" s="9">
        <v>1750.32</v>
      </c>
      <c r="F224" s="7" t="s">
        <v>170</v>
      </c>
      <c r="G224" s="7" t="s">
        <v>24</v>
      </c>
      <c r="H224" s="7" t="s">
        <v>24</v>
      </c>
      <c r="I224" s="7" t="s">
        <v>24</v>
      </c>
      <c r="J224" s="7" t="s">
        <v>24</v>
      </c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000">
    <sortState ref="A1:Z1000">
      <sortCondition ref="B1:B1000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6" width="10.63"/>
    <col customWidth="1" min="7" max="7" width="16.63"/>
    <col customWidth="1" min="8" max="26" width="10.63"/>
  </cols>
  <sheetData>
    <row r="1" ht="14.25" customHeight="1">
      <c r="A1" s="6" t="s">
        <v>733</v>
      </c>
      <c r="B1" s="6" t="s">
        <v>734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12</v>
      </c>
      <c r="B2" s="7">
        <v>338.0</v>
      </c>
      <c r="C2" s="7" t="str">
        <f t="shared" ref="C2:C224" si="1">IF(ISNUMBER(SEARCH("(",A2)),"aquí","0")</f>
        <v>0</v>
      </c>
    </row>
    <row r="3" ht="14.25" customHeight="1">
      <c r="A3" s="7" t="s">
        <v>20</v>
      </c>
      <c r="B3" s="7">
        <v>377.0</v>
      </c>
      <c r="C3" s="7" t="str">
        <f t="shared" si="1"/>
        <v>0</v>
      </c>
    </row>
    <row r="4" ht="14.25" customHeight="1">
      <c r="A4" s="7" t="s">
        <v>28</v>
      </c>
      <c r="B4" s="7">
        <v>582.0</v>
      </c>
      <c r="C4" s="7" t="str">
        <f t="shared" si="1"/>
        <v>0</v>
      </c>
    </row>
    <row r="5" ht="14.25" customHeight="1">
      <c r="A5" s="7" t="s">
        <v>35</v>
      </c>
      <c r="B5" s="7">
        <v>802.0</v>
      </c>
      <c r="C5" s="7" t="str">
        <f t="shared" si="1"/>
        <v>0</v>
      </c>
    </row>
    <row r="6" ht="14.25" customHeight="1">
      <c r="A6" s="7" t="s">
        <v>42</v>
      </c>
      <c r="B6" s="7">
        <v>581.0</v>
      </c>
      <c r="C6" s="7" t="str">
        <f t="shared" si="1"/>
        <v>0</v>
      </c>
    </row>
    <row r="7" ht="14.25" customHeight="1">
      <c r="A7" s="7" t="s">
        <v>47</v>
      </c>
      <c r="B7" s="7">
        <v>1361.0</v>
      </c>
      <c r="C7" s="7" t="str">
        <f t="shared" si="1"/>
        <v>0</v>
      </c>
    </row>
    <row r="8" ht="14.25" customHeight="1">
      <c r="A8" s="7" t="s">
        <v>715</v>
      </c>
      <c r="B8" s="7">
        <v>913.0</v>
      </c>
      <c r="C8" s="7" t="str">
        <f t="shared" si="1"/>
        <v>0</v>
      </c>
    </row>
    <row r="9" ht="14.25" customHeight="1">
      <c r="A9" s="7" t="s">
        <v>52</v>
      </c>
      <c r="B9" s="7">
        <v>657.0</v>
      </c>
      <c r="C9" s="7" t="str">
        <f t="shared" si="1"/>
        <v>0</v>
      </c>
    </row>
    <row r="10" ht="14.25" customHeight="1">
      <c r="A10" s="7" t="s">
        <v>58</v>
      </c>
      <c r="B10" s="7">
        <v>1348.0</v>
      </c>
      <c r="C10" s="7" t="str">
        <f t="shared" si="1"/>
        <v>0</v>
      </c>
    </row>
    <row r="11" ht="14.25" customHeight="1">
      <c r="A11" s="7" t="s">
        <v>64</v>
      </c>
      <c r="B11" s="7">
        <v>255.0</v>
      </c>
      <c r="C11" s="7" t="str">
        <f t="shared" si="1"/>
        <v>0</v>
      </c>
    </row>
    <row r="12" ht="14.25" customHeight="1">
      <c r="A12" s="7" t="s">
        <v>68</v>
      </c>
      <c r="B12" s="7">
        <v>2459.0</v>
      </c>
      <c r="C12" s="7" t="str">
        <f t="shared" si="1"/>
        <v>0</v>
      </c>
    </row>
    <row r="13" ht="14.25" customHeight="1">
      <c r="A13" s="7" t="s">
        <v>78</v>
      </c>
      <c r="B13" s="7">
        <v>606.0</v>
      </c>
      <c r="C13" s="7" t="str">
        <f t="shared" si="1"/>
        <v>0</v>
      </c>
    </row>
    <row r="14" ht="14.25" customHeight="1">
      <c r="A14" s="7" t="s">
        <v>71</v>
      </c>
      <c r="B14" s="7">
        <v>597.0</v>
      </c>
      <c r="C14" s="7" t="str">
        <f t="shared" si="1"/>
        <v>0</v>
      </c>
    </row>
    <row r="15" ht="14.25" customHeight="1">
      <c r="A15" s="7" t="s">
        <v>86</v>
      </c>
      <c r="B15" s="7">
        <v>2015.0</v>
      </c>
      <c r="C15" s="7" t="str">
        <f t="shared" si="1"/>
        <v>0</v>
      </c>
    </row>
    <row r="16" ht="14.25" customHeight="1">
      <c r="A16" s="7" t="s">
        <v>15</v>
      </c>
      <c r="B16" s="7">
        <v>725.0</v>
      </c>
      <c r="C16" s="7" t="str">
        <f t="shared" si="1"/>
        <v>0</v>
      </c>
    </row>
    <row r="17" ht="14.25" customHeight="1">
      <c r="A17" s="7" t="s">
        <v>96</v>
      </c>
      <c r="B17" s="7">
        <v>362.0</v>
      </c>
      <c r="C17" s="7" t="str">
        <f t="shared" si="1"/>
        <v>0</v>
      </c>
    </row>
    <row r="18" ht="14.25" customHeight="1">
      <c r="A18" s="7" t="s">
        <v>100</v>
      </c>
      <c r="B18" s="7">
        <v>755.0</v>
      </c>
      <c r="C18" s="7" t="str">
        <f t="shared" si="1"/>
        <v>0</v>
      </c>
    </row>
    <row r="19" ht="14.25" customHeight="1">
      <c r="A19" s="7" t="s">
        <v>104</v>
      </c>
      <c r="B19" s="7">
        <v>1710.0</v>
      </c>
      <c r="C19" s="7" t="str">
        <f t="shared" si="1"/>
        <v>0</v>
      </c>
    </row>
    <row r="20" ht="14.25" customHeight="1">
      <c r="A20" s="7" t="s">
        <v>108</v>
      </c>
      <c r="B20" s="7">
        <v>1647.0</v>
      </c>
      <c r="C20" s="7" t="str">
        <f t="shared" si="1"/>
        <v>0</v>
      </c>
    </row>
    <row r="21" ht="14.25" customHeight="1">
      <c r="A21" s="7" t="s">
        <v>114</v>
      </c>
      <c r="B21" s="7">
        <v>1799.0</v>
      </c>
      <c r="C21" s="7" t="str">
        <f t="shared" si="1"/>
        <v>0</v>
      </c>
    </row>
    <row r="22" ht="14.25" customHeight="1">
      <c r="A22" s="7" t="s">
        <v>106</v>
      </c>
      <c r="B22" s="7">
        <v>5565.0</v>
      </c>
      <c r="C22" s="7" t="str">
        <f t="shared" si="1"/>
        <v>0</v>
      </c>
    </row>
    <row r="23" ht="14.25" customHeight="1">
      <c r="A23" s="7" t="s">
        <v>122</v>
      </c>
      <c r="B23" s="7">
        <v>809.0</v>
      </c>
      <c r="C23" s="7" t="str">
        <f t="shared" si="1"/>
        <v>0</v>
      </c>
    </row>
    <row r="24" ht="14.25" customHeight="1">
      <c r="A24" s="7" t="s">
        <v>119</v>
      </c>
      <c r="B24" s="7">
        <v>425.0</v>
      </c>
      <c r="C24" s="7" t="str">
        <f t="shared" si="1"/>
        <v>0</v>
      </c>
    </row>
    <row r="25" ht="14.25" customHeight="1">
      <c r="A25" s="7" t="s">
        <v>125</v>
      </c>
      <c r="B25" s="7">
        <v>735.0</v>
      </c>
      <c r="C25" s="7" t="str">
        <f t="shared" si="1"/>
        <v>0</v>
      </c>
    </row>
    <row r="26" ht="14.25" customHeight="1">
      <c r="A26" s="7" t="s">
        <v>128</v>
      </c>
      <c r="B26" s="7">
        <v>373.0</v>
      </c>
      <c r="C26" s="7" t="str">
        <f t="shared" si="1"/>
        <v>0</v>
      </c>
    </row>
    <row r="27" ht="14.25" customHeight="1">
      <c r="A27" s="7" t="s">
        <v>134</v>
      </c>
      <c r="B27" s="7">
        <v>721.0</v>
      </c>
      <c r="C27" s="7" t="str">
        <f t="shared" si="1"/>
        <v>0</v>
      </c>
    </row>
    <row r="28" ht="14.25" customHeight="1">
      <c r="A28" s="7" t="s">
        <v>137</v>
      </c>
      <c r="B28" s="7">
        <v>86.0</v>
      </c>
      <c r="C28" s="7" t="str">
        <f t="shared" si="1"/>
        <v>0</v>
      </c>
    </row>
    <row r="29" ht="14.25" customHeight="1">
      <c r="A29" s="7" t="s">
        <v>140</v>
      </c>
      <c r="B29" s="7">
        <v>120.0</v>
      </c>
      <c r="C29" s="7" t="str">
        <f t="shared" si="1"/>
        <v>0</v>
      </c>
    </row>
    <row r="30" ht="14.25" customHeight="1">
      <c r="A30" s="7" t="s">
        <v>143</v>
      </c>
      <c r="B30" s="7">
        <v>396.0</v>
      </c>
      <c r="C30" s="7" t="str">
        <f t="shared" si="1"/>
        <v>0</v>
      </c>
    </row>
    <row r="31" ht="14.25" customHeight="1">
      <c r="A31" s="7" t="s">
        <v>146</v>
      </c>
      <c r="B31" s="7">
        <v>488.0</v>
      </c>
      <c r="C31" s="7" t="str">
        <f t="shared" si="1"/>
        <v>0</v>
      </c>
    </row>
    <row r="32" ht="14.25" customHeight="1">
      <c r="A32" s="7" t="s">
        <v>149</v>
      </c>
      <c r="B32" s="7">
        <v>185.0</v>
      </c>
      <c r="C32" s="7" t="str">
        <f t="shared" si="1"/>
        <v>0</v>
      </c>
    </row>
    <row r="33" ht="14.25" customHeight="1">
      <c r="A33" s="7" t="s">
        <v>39</v>
      </c>
      <c r="B33" s="7">
        <v>1734.0</v>
      </c>
      <c r="C33" s="7" t="str">
        <f t="shared" si="1"/>
        <v>0</v>
      </c>
    </row>
    <row r="34" ht="14.25" customHeight="1">
      <c r="A34" s="7" t="s">
        <v>155</v>
      </c>
      <c r="B34" s="7">
        <v>400.0</v>
      </c>
      <c r="C34" s="7" t="str">
        <f t="shared" si="1"/>
        <v>0</v>
      </c>
    </row>
    <row r="35" ht="14.25" customHeight="1">
      <c r="A35" s="7" t="s">
        <v>158</v>
      </c>
      <c r="B35" s="7">
        <v>344.0</v>
      </c>
      <c r="C35" s="7" t="str">
        <f t="shared" si="1"/>
        <v>0</v>
      </c>
    </row>
    <row r="36" ht="14.25" customHeight="1">
      <c r="A36" s="7" t="s">
        <v>162</v>
      </c>
      <c r="B36" s="7">
        <v>2149.0</v>
      </c>
      <c r="C36" s="7" t="str">
        <f t="shared" si="1"/>
        <v>0</v>
      </c>
    </row>
    <row r="37" ht="14.25" customHeight="1">
      <c r="A37" s="7" t="s">
        <v>165</v>
      </c>
      <c r="B37" s="7">
        <v>341.0</v>
      </c>
      <c r="C37" s="7" t="str">
        <f t="shared" si="1"/>
        <v>0</v>
      </c>
    </row>
    <row r="38" ht="14.25" customHeight="1">
      <c r="A38" s="7" t="s">
        <v>24</v>
      </c>
      <c r="B38" s="7">
        <v>96215.0</v>
      </c>
      <c r="C38" s="7" t="str">
        <f t="shared" si="1"/>
        <v>0</v>
      </c>
    </row>
    <row r="39" ht="14.25" customHeight="1">
      <c r="A39" s="7" t="s">
        <v>173</v>
      </c>
      <c r="B39" s="7">
        <v>92.0</v>
      </c>
      <c r="C39" s="7" t="str">
        <f t="shared" si="1"/>
        <v>0</v>
      </c>
    </row>
    <row r="40" ht="14.25" customHeight="1">
      <c r="A40" s="7" t="s">
        <v>177</v>
      </c>
      <c r="B40" s="7">
        <v>419.0</v>
      </c>
      <c r="C40" s="7" t="str">
        <f t="shared" si="1"/>
        <v>0</v>
      </c>
    </row>
    <row r="41" ht="14.25" customHeight="1">
      <c r="A41" s="7" t="s">
        <v>181</v>
      </c>
      <c r="B41" s="7">
        <v>459.0</v>
      </c>
      <c r="C41" s="7" t="str">
        <f t="shared" si="1"/>
        <v>0</v>
      </c>
    </row>
    <row r="42" ht="14.25" customHeight="1">
      <c r="A42" s="7" t="s">
        <v>184</v>
      </c>
      <c r="B42" s="7">
        <v>1132.0</v>
      </c>
      <c r="C42" s="7" t="str">
        <f t="shared" si="1"/>
        <v>0</v>
      </c>
    </row>
    <row r="43" ht="14.25" customHeight="1">
      <c r="A43" s="7" t="s">
        <v>191</v>
      </c>
      <c r="B43" s="7">
        <v>83.0</v>
      </c>
      <c r="C43" s="7" t="str">
        <f t="shared" si="1"/>
        <v>0</v>
      </c>
    </row>
    <row r="44" ht="14.25" customHeight="1">
      <c r="A44" s="7" t="s">
        <v>194</v>
      </c>
      <c r="B44" s="7">
        <v>833.0</v>
      </c>
      <c r="C44" s="7" t="str">
        <f t="shared" si="1"/>
        <v>0</v>
      </c>
    </row>
    <row r="45" ht="14.25" customHeight="1">
      <c r="A45" s="7" t="s">
        <v>197</v>
      </c>
      <c r="B45" s="7">
        <v>1615.0</v>
      </c>
      <c r="C45" s="7" t="str">
        <f t="shared" si="1"/>
        <v>0</v>
      </c>
    </row>
    <row r="46" ht="14.25" customHeight="1">
      <c r="A46" s="7" t="s">
        <v>200</v>
      </c>
      <c r="B46" s="7">
        <v>1009.0</v>
      </c>
      <c r="C46" s="7" t="str">
        <f t="shared" si="1"/>
        <v>0</v>
      </c>
    </row>
    <row r="47" ht="14.25" customHeight="1">
      <c r="A47" s="7" t="s">
        <v>205</v>
      </c>
      <c r="B47" s="7">
        <v>179.0</v>
      </c>
      <c r="C47" s="7" t="str">
        <f t="shared" si="1"/>
        <v>0</v>
      </c>
    </row>
    <row r="48" ht="14.25" customHeight="1">
      <c r="A48" s="7" t="s">
        <v>211</v>
      </c>
      <c r="B48" s="7">
        <v>1078.0</v>
      </c>
      <c r="C48" s="7" t="str">
        <f t="shared" si="1"/>
        <v>0</v>
      </c>
    </row>
    <row r="49" ht="14.25" customHeight="1">
      <c r="A49" s="7" t="s">
        <v>214</v>
      </c>
      <c r="B49" s="7">
        <v>230.0</v>
      </c>
      <c r="C49" s="7" t="str">
        <f t="shared" si="1"/>
        <v>0</v>
      </c>
    </row>
    <row r="50" ht="14.25" customHeight="1">
      <c r="A50" s="7" t="s">
        <v>218</v>
      </c>
      <c r="B50" s="7">
        <v>4431.0</v>
      </c>
      <c r="C50" s="7" t="str">
        <f t="shared" si="1"/>
        <v>0</v>
      </c>
    </row>
    <row r="51" ht="14.25" customHeight="1">
      <c r="A51" s="7" t="s">
        <v>188</v>
      </c>
      <c r="B51" s="7">
        <v>1017.0</v>
      </c>
      <c r="C51" s="7" t="str">
        <f t="shared" si="1"/>
        <v>0</v>
      </c>
    </row>
    <row r="52" ht="14.25" customHeight="1">
      <c r="A52" s="7" t="s">
        <v>225</v>
      </c>
      <c r="B52" s="7">
        <v>404.0</v>
      </c>
      <c r="C52" s="7" t="str">
        <f t="shared" si="1"/>
        <v>0</v>
      </c>
    </row>
    <row r="53" ht="14.25" customHeight="1">
      <c r="A53" s="7" t="s">
        <v>229</v>
      </c>
      <c r="B53" s="7">
        <v>191.0</v>
      </c>
      <c r="C53" s="7" t="str">
        <f t="shared" si="1"/>
        <v>0</v>
      </c>
    </row>
    <row r="54" ht="14.25" customHeight="1">
      <c r="A54" s="7" t="s">
        <v>232</v>
      </c>
      <c r="B54" s="7">
        <v>321.0</v>
      </c>
      <c r="C54" s="7" t="str">
        <f t="shared" si="1"/>
        <v>0</v>
      </c>
    </row>
    <row r="55" ht="14.25" customHeight="1">
      <c r="A55" s="7" t="s">
        <v>240</v>
      </c>
      <c r="B55" s="7">
        <v>549.0</v>
      </c>
      <c r="C55" s="7" t="str">
        <f t="shared" si="1"/>
        <v>0</v>
      </c>
    </row>
    <row r="56" ht="14.25" customHeight="1">
      <c r="A56" s="7" t="s">
        <v>243</v>
      </c>
      <c r="B56" s="7">
        <v>114.0</v>
      </c>
      <c r="C56" s="7" t="str">
        <f t="shared" si="1"/>
        <v>0</v>
      </c>
    </row>
    <row r="57" ht="14.25" customHeight="1">
      <c r="A57" s="7" t="s">
        <v>131</v>
      </c>
      <c r="B57" s="7">
        <v>579.0</v>
      </c>
      <c r="C57" s="7" t="str">
        <f t="shared" si="1"/>
        <v>0</v>
      </c>
    </row>
    <row r="58" ht="14.25" customHeight="1">
      <c r="A58" s="7" t="s">
        <v>237</v>
      </c>
      <c r="B58" s="7">
        <v>769.0</v>
      </c>
      <c r="C58" s="7" t="str">
        <f t="shared" si="1"/>
        <v>0</v>
      </c>
    </row>
    <row r="59" ht="14.25" customHeight="1">
      <c r="A59" s="7" t="s">
        <v>246</v>
      </c>
      <c r="B59" s="7">
        <v>1360.0</v>
      </c>
      <c r="C59" s="7" t="str">
        <f t="shared" si="1"/>
        <v>0</v>
      </c>
    </row>
    <row r="60" ht="14.25" customHeight="1">
      <c r="A60" s="7" t="s">
        <v>249</v>
      </c>
      <c r="B60" s="7">
        <v>343.0</v>
      </c>
      <c r="C60" s="7" t="str">
        <f t="shared" si="1"/>
        <v>0</v>
      </c>
    </row>
    <row r="61" ht="14.25" customHeight="1">
      <c r="A61" s="7" t="s">
        <v>252</v>
      </c>
      <c r="B61" s="7">
        <v>1013.0</v>
      </c>
      <c r="C61" s="7" t="str">
        <f t="shared" si="1"/>
        <v>0</v>
      </c>
      <c r="F61" s="7" t="s">
        <v>324</v>
      </c>
      <c r="G61" s="7" t="s">
        <v>735</v>
      </c>
      <c r="H61" s="7" t="str">
        <f>CONCAT(F61," is the same municipality that ",G61)</f>
        <v>#N/A</v>
      </c>
    </row>
    <row r="62" ht="14.25" customHeight="1">
      <c r="A62" s="7" t="s">
        <v>38</v>
      </c>
      <c r="B62" s="7">
        <v>1780.0</v>
      </c>
      <c r="C62" s="7" t="str">
        <f t="shared" si="1"/>
        <v>0</v>
      </c>
      <c r="F62" s="7" t="s">
        <v>610</v>
      </c>
      <c r="G62" s="7" t="s">
        <v>736</v>
      </c>
      <c r="H62" s="7" t="str">
        <f t="shared" ref="H62:H67" si="2">CONCAT(F62," that ",G62)</f>
        <v>#N/A</v>
      </c>
    </row>
    <row r="63" ht="14.25" customHeight="1">
      <c r="A63" s="7" t="s">
        <v>257</v>
      </c>
      <c r="B63" s="7">
        <v>433.0</v>
      </c>
      <c r="C63" s="7" t="str">
        <f t="shared" si="1"/>
        <v>0</v>
      </c>
      <c r="F63" s="7" t="s">
        <v>81</v>
      </c>
      <c r="G63" s="7" t="s">
        <v>737</v>
      </c>
      <c r="H63" s="7" t="str">
        <f t="shared" si="2"/>
        <v>#N/A</v>
      </c>
    </row>
    <row r="64" ht="14.25" customHeight="1">
      <c r="A64" s="7" t="s">
        <v>260</v>
      </c>
      <c r="B64" s="7">
        <v>144.0</v>
      </c>
      <c r="C64" s="7" t="str">
        <f t="shared" si="1"/>
        <v>0</v>
      </c>
      <c r="F64" s="7" t="s">
        <v>277</v>
      </c>
      <c r="G64" s="7" t="s">
        <v>738</v>
      </c>
      <c r="H64" s="7" t="str">
        <f t="shared" si="2"/>
        <v>#N/A</v>
      </c>
    </row>
    <row r="65" ht="14.25" customHeight="1">
      <c r="A65" s="7" t="s">
        <v>263</v>
      </c>
      <c r="B65" s="7">
        <v>1562.0</v>
      </c>
      <c r="C65" s="7" t="str">
        <f t="shared" si="1"/>
        <v>0</v>
      </c>
      <c r="F65" s="7" t="s">
        <v>302</v>
      </c>
      <c r="G65" s="7" t="s">
        <v>739</v>
      </c>
      <c r="H65" s="7" t="str">
        <f t="shared" si="2"/>
        <v>#N/A</v>
      </c>
    </row>
    <row r="66" ht="14.25" customHeight="1">
      <c r="A66" s="7" t="s">
        <v>266</v>
      </c>
      <c r="B66" s="7">
        <v>261.0</v>
      </c>
      <c r="C66" s="7" t="str">
        <f t="shared" si="1"/>
        <v>0</v>
      </c>
      <c r="F66" s="7" t="s">
        <v>327</v>
      </c>
      <c r="G66" s="7" t="s">
        <v>740</v>
      </c>
      <c r="H66" s="7" t="str">
        <f t="shared" si="2"/>
        <v>#N/A</v>
      </c>
    </row>
    <row r="67" ht="14.25" customHeight="1">
      <c r="A67" s="7" t="s">
        <v>269</v>
      </c>
      <c r="B67" s="7">
        <v>190.0</v>
      </c>
      <c r="C67" s="7" t="str">
        <f t="shared" si="1"/>
        <v>0</v>
      </c>
      <c r="F67" s="7" t="s">
        <v>496</v>
      </c>
      <c r="G67" s="7" t="s">
        <v>741</v>
      </c>
      <c r="H67" s="7" t="str">
        <f t="shared" si="2"/>
        <v>#N/A</v>
      </c>
    </row>
    <row r="68" ht="14.25" customHeight="1">
      <c r="A68" s="7" t="s">
        <v>32</v>
      </c>
      <c r="B68" s="7">
        <v>12166.0</v>
      </c>
      <c r="C68" s="7" t="str">
        <f t="shared" si="1"/>
        <v>0</v>
      </c>
    </row>
    <row r="69" ht="14.25" customHeight="1">
      <c r="A69" s="7" t="s">
        <v>274</v>
      </c>
      <c r="B69" s="7">
        <v>833.0</v>
      </c>
      <c r="C69" s="7" t="str">
        <f t="shared" si="1"/>
        <v>0</v>
      </c>
    </row>
    <row r="70" ht="14.25" customHeight="1">
      <c r="A70" s="7" t="s">
        <v>280</v>
      </c>
      <c r="B70" s="7">
        <v>685.0</v>
      </c>
      <c r="C70" s="7" t="str">
        <f t="shared" si="1"/>
        <v>0</v>
      </c>
    </row>
    <row r="71" ht="14.25" customHeight="1">
      <c r="A71" s="7" t="s">
        <v>283</v>
      </c>
      <c r="B71" s="7">
        <v>103.0</v>
      </c>
      <c r="C71" s="7" t="str">
        <f t="shared" si="1"/>
        <v>0</v>
      </c>
    </row>
    <row r="72" ht="14.25" customHeight="1">
      <c r="A72" s="7" t="s">
        <v>324</v>
      </c>
      <c r="B72" s="7">
        <v>364.0</v>
      </c>
      <c r="C72" s="7" t="str">
        <f t="shared" si="1"/>
        <v>aquí</v>
      </c>
      <c r="D72" s="7" t="s">
        <v>735</v>
      </c>
    </row>
    <row r="73" ht="14.25" customHeight="1">
      <c r="A73" s="7" t="s">
        <v>610</v>
      </c>
      <c r="B73" s="7">
        <v>838.0</v>
      </c>
      <c r="C73" s="7" t="str">
        <f t="shared" si="1"/>
        <v>aquí</v>
      </c>
      <c r="D73" s="7" t="s">
        <v>736</v>
      </c>
    </row>
    <row r="74" ht="14.25" customHeight="1">
      <c r="A74" s="7" t="s">
        <v>286</v>
      </c>
      <c r="B74" s="7">
        <v>865.0</v>
      </c>
      <c r="C74" s="7" t="str">
        <f t="shared" si="1"/>
        <v>0</v>
      </c>
    </row>
    <row r="75" ht="14.25" customHeight="1">
      <c r="A75" s="7" t="s">
        <v>290</v>
      </c>
      <c r="B75" s="7">
        <v>863.0</v>
      </c>
      <c r="C75" s="7" t="str">
        <f t="shared" si="1"/>
        <v>0</v>
      </c>
    </row>
    <row r="76" ht="14.25" customHeight="1">
      <c r="A76" s="7" t="s">
        <v>293</v>
      </c>
      <c r="B76" s="7">
        <v>241.0</v>
      </c>
      <c r="C76" s="7" t="str">
        <f t="shared" si="1"/>
        <v>0</v>
      </c>
    </row>
    <row r="77" ht="14.25" customHeight="1">
      <c r="A77" s="7" t="s">
        <v>296</v>
      </c>
      <c r="B77" s="7">
        <v>858.0</v>
      </c>
      <c r="C77" s="7" t="str">
        <f t="shared" si="1"/>
        <v>0</v>
      </c>
    </row>
    <row r="78" ht="14.25" customHeight="1">
      <c r="A78" s="7" t="s">
        <v>299</v>
      </c>
      <c r="B78" s="7">
        <v>687.0</v>
      </c>
      <c r="C78" s="7" t="str">
        <f t="shared" si="1"/>
        <v>0</v>
      </c>
    </row>
    <row r="79" ht="14.25" customHeight="1">
      <c r="A79" s="7" t="s">
        <v>305</v>
      </c>
      <c r="B79" s="7">
        <v>898.0</v>
      </c>
      <c r="C79" s="7" t="str">
        <f t="shared" si="1"/>
        <v>0</v>
      </c>
    </row>
    <row r="80" ht="14.25" customHeight="1">
      <c r="A80" s="7" t="s">
        <v>308</v>
      </c>
      <c r="B80" s="7">
        <v>371.0</v>
      </c>
      <c r="C80" s="7" t="str">
        <f t="shared" si="1"/>
        <v>0</v>
      </c>
    </row>
    <row r="81" ht="14.25" customHeight="1">
      <c r="A81" s="7" t="s">
        <v>311</v>
      </c>
      <c r="B81" s="7">
        <v>176.0</v>
      </c>
      <c r="C81" s="7" t="str">
        <f t="shared" si="1"/>
        <v>0</v>
      </c>
    </row>
    <row r="82" ht="14.25" customHeight="1">
      <c r="A82" s="7" t="s">
        <v>315</v>
      </c>
      <c r="B82" s="7">
        <v>1974.0</v>
      </c>
      <c r="C82" s="7" t="str">
        <f t="shared" si="1"/>
        <v>0</v>
      </c>
    </row>
    <row r="83" ht="14.25" customHeight="1">
      <c r="A83" s="7" t="s">
        <v>318</v>
      </c>
      <c r="B83" s="7">
        <v>99.0</v>
      </c>
      <c r="C83" s="7" t="str">
        <f t="shared" si="1"/>
        <v>0</v>
      </c>
    </row>
    <row r="84" ht="14.25" customHeight="1">
      <c r="A84" s="7" t="s">
        <v>321</v>
      </c>
      <c r="B84" s="7">
        <v>1372.0</v>
      </c>
      <c r="C84" s="7" t="str">
        <f t="shared" si="1"/>
        <v>0</v>
      </c>
    </row>
    <row r="85" ht="14.25" customHeight="1">
      <c r="A85" s="7" t="s">
        <v>102</v>
      </c>
      <c r="B85" s="7">
        <v>1787.0</v>
      </c>
      <c r="C85" s="7" t="str">
        <f t="shared" si="1"/>
        <v>0</v>
      </c>
    </row>
    <row r="86" ht="14.25" customHeight="1">
      <c r="A86" s="7" t="s">
        <v>332</v>
      </c>
      <c r="B86" s="7">
        <v>195.0</v>
      </c>
      <c r="C86" s="7" t="str">
        <f t="shared" si="1"/>
        <v>0</v>
      </c>
    </row>
    <row r="87" ht="14.25" customHeight="1">
      <c r="A87" s="7" t="s">
        <v>335</v>
      </c>
      <c r="B87" s="7">
        <v>1509.0</v>
      </c>
      <c r="C87" s="7" t="str">
        <f t="shared" si="1"/>
        <v>0</v>
      </c>
    </row>
    <row r="88" ht="14.25" customHeight="1">
      <c r="A88" s="7" t="s">
        <v>338</v>
      </c>
      <c r="B88" s="7">
        <v>493.0</v>
      </c>
      <c r="C88" s="7" t="str">
        <f t="shared" si="1"/>
        <v>0</v>
      </c>
    </row>
    <row r="89" ht="14.25" customHeight="1">
      <c r="A89" s="7" t="s">
        <v>341</v>
      </c>
      <c r="B89" s="7">
        <v>378.0</v>
      </c>
      <c r="C89" s="7" t="str">
        <f t="shared" si="1"/>
        <v>0</v>
      </c>
    </row>
    <row r="90" ht="14.25" customHeight="1">
      <c r="A90" s="7" t="s">
        <v>345</v>
      </c>
      <c r="B90" s="7">
        <v>266.0</v>
      </c>
      <c r="C90" s="7" t="str">
        <f t="shared" si="1"/>
        <v>0</v>
      </c>
    </row>
    <row r="91" ht="14.25" customHeight="1">
      <c r="A91" s="7" t="s">
        <v>348</v>
      </c>
      <c r="B91" s="7">
        <v>416.0</v>
      </c>
      <c r="C91" s="7" t="str">
        <f t="shared" si="1"/>
        <v>0</v>
      </c>
    </row>
    <row r="92" ht="14.25" customHeight="1">
      <c r="A92" s="7" t="s">
        <v>351</v>
      </c>
      <c r="B92" s="7">
        <v>228.0</v>
      </c>
      <c r="C92" s="7" t="str">
        <f t="shared" si="1"/>
        <v>0</v>
      </c>
    </row>
    <row r="93" ht="14.25" customHeight="1">
      <c r="A93" s="7" t="s">
        <v>354</v>
      </c>
      <c r="B93" s="7">
        <v>321.0</v>
      </c>
      <c r="C93" s="7" t="str">
        <f t="shared" si="1"/>
        <v>0</v>
      </c>
    </row>
    <row r="94" ht="14.25" customHeight="1">
      <c r="A94" s="7" t="s">
        <v>17</v>
      </c>
      <c r="B94" s="7">
        <v>3907.0</v>
      </c>
      <c r="C94" s="7" t="str">
        <f t="shared" si="1"/>
        <v>0</v>
      </c>
    </row>
    <row r="95" ht="14.25" customHeight="1">
      <c r="A95" s="7" t="s">
        <v>360</v>
      </c>
      <c r="B95" s="7">
        <v>105.0</v>
      </c>
      <c r="C95" s="7" t="str">
        <f t="shared" si="1"/>
        <v>0</v>
      </c>
    </row>
    <row r="96" ht="14.25" customHeight="1">
      <c r="A96" s="7" t="s">
        <v>363</v>
      </c>
      <c r="B96" s="7">
        <v>391.0</v>
      </c>
      <c r="C96" s="7" t="str">
        <f t="shared" si="1"/>
        <v>0</v>
      </c>
    </row>
    <row r="97" ht="14.25" customHeight="1">
      <c r="A97" s="7" t="s">
        <v>367</v>
      </c>
      <c r="B97" s="7">
        <v>607.0</v>
      </c>
      <c r="C97" s="7" t="str">
        <f t="shared" si="1"/>
        <v>0</v>
      </c>
    </row>
    <row r="98" ht="14.25" customHeight="1">
      <c r="A98" s="7" t="s">
        <v>31</v>
      </c>
      <c r="B98" s="7">
        <v>851.0</v>
      </c>
      <c r="C98" s="7" t="str">
        <f t="shared" si="1"/>
        <v>0</v>
      </c>
    </row>
    <row r="99" ht="14.25" customHeight="1">
      <c r="A99" s="7" t="s">
        <v>372</v>
      </c>
      <c r="B99" s="7">
        <v>210.0</v>
      </c>
      <c r="C99" s="7" t="str">
        <f t="shared" si="1"/>
        <v>0</v>
      </c>
    </row>
    <row r="100" ht="14.25" customHeight="1">
      <c r="A100" s="7" t="s">
        <v>376</v>
      </c>
      <c r="B100" s="7">
        <v>531.0</v>
      </c>
      <c r="C100" s="7" t="str">
        <f t="shared" si="1"/>
        <v>0</v>
      </c>
    </row>
    <row r="101" ht="14.25" customHeight="1">
      <c r="A101" s="7" t="s">
        <v>379</v>
      </c>
      <c r="B101" s="7">
        <v>444.0</v>
      </c>
      <c r="C101" s="7" t="str">
        <f t="shared" si="1"/>
        <v>0</v>
      </c>
    </row>
    <row r="102" ht="14.25" customHeight="1">
      <c r="A102" s="7" t="s">
        <v>90</v>
      </c>
      <c r="B102" s="7">
        <v>6664.0</v>
      </c>
      <c r="C102" s="7" t="str">
        <f t="shared" si="1"/>
        <v>0</v>
      </c>
    </row>
    <row r="103" ht="14.25" customHeight="1">
      <c r="A103" s="7" t="s">
        <v>384</v>
      </c>
      <c r="B103" s="7">
        <v>2845.0</v>
      </c>
      <c r="C103" s="7" t="str">
        <f t="shared" si="1"/>
        <v>0</v>
      </c>
    </row>
    <row r="104" ht="14.25" customHeight="1">
      <c r="A104" s="7" t="s">
        <v>387</v>
      </c>
      <c r="B104" s="7">
        <v>139.0</v>
      </c>
      <c r="C104" s="7" t="str">
        <f t="shared" si="1"/>
        <v>0</v>
      </c>
    </row>
    <row r="105" ht="14.25" customHeight="1">
      <c r="A105" s="7" t="s">
        <v>390</v>
      </c>
      <c r="B105" s="7">
        <v>1238.0</v>
      </c>
      <c r="C105" s="7" t="str">
        <f t="shared" si="1"/>
        <v>0</v>
      </c>
    </row>
    <row r="106" ht="14.25" customHeight="1">
      <c r="A106" s="7" t="s">
        <v>81</v>
      </c>
      <c r="B106" s="7">
        <v>297.0</v>
      </c>
      <c r="C106" s="7" t="str">
        <f t="shared" si="1"/>
        <v>aquí</v>
      </c>
      <c r="D106" s="7" t="s">
        <v>737</v>
      </c>
    </row>
    <row r="107" ht="14.25" customHeight="1">
      <c r="A107" s="7" t="s">
        <v>277</v>
      </c>
      <c r="B107" s="7">
        <v>840.0</v>
      </c>
      <c r="C107" s="7" t="str">
        <f t="shared" si="1"/>
        <v>aquí</v>
      </c>
      <c r="D107" s="7" t="s">
        <v>738</v>
      </c>
    </row>
    <row r="108" ht="14.25" customHeight="1">
      <c r="A108" s="7" t="s">
        <v>302</v>
      </c>
      <c r="B108" s="7">
        <v>353.0</v>
      </c>
      <c r="C108" s="7" t="str">
        <f t="shared" si="1"/>
        <v>aquí</v>
      </c>
      <c r="D108" s="7" t="s">
        <v>739</v>
      </c>
    </row>
    <row r="109" ht="14.25" customHeight="1">
      <c r="A109" s="7" t="s">
        <v>327</v>
      </c>
      <c r="B109" s="7">
        <v>316.0</v>
      </c>
      <c r="C109" s="7" t="str">
        <f t="shared" si="1"/>
        <v>aquí</v>
      </c>
      <c r="D109" s="7" t="s">
        <v>740</v>
      </c>
    </row>
    <row r="110" ht="14.25" customHeight="1">
      <c r="A110" s="7" t="s">
        <v>496</v>
      </c>
      <c r="B110" s="7">
        <v>976.0</v>
      </c>
      <c r="C110" s="7" t="str">
        <f t="shared" si="1"/>
        <v>aquí</v>
      </c>
      <c r="D110" s="7" t="s">
        <v>741</v>
      </c>
    </row>
    <row r="111" ht="14.25" customHeight="1">
      <c r="A111" s="7" t="s">
        <v>393</v>
      </c>
      <c r="B111" s="7">
        <v>191.0</v>
      </c>
      <c r="C111" s="7" t="str">
        <f t="shared" si="1"/>
        <v>0</v>
      </c>
    </row>
    <row r="112" ht="14.25" customHeight="1">
      <c r="A112" s="7" t="s">
        <v>25</v>
      </c>
      <c r="B112" s="7">
        <v>1913.0</v>
      </c>
      <c r="C112" s="7" t="str">
        <f t="shared" si="1"/>
        <v>0</v>
      </c>
    </row>
    <row r="113" ht="14.25" customHeight="1">
      <c r="A113" s="7" t="s">
        <v>343</v>
      </c>
      <c r="B113" s="7">
        <v>2718.0</v>
      </c>
      <c r="C113" s="7" t="str">
        <f t="shared" si="1"/>
        <v>0</v>
      </c>
    </row>
    <row r="114" ht="14.25" customHeight="1">
      <c r="A114" s="7" t="s">
        <v>400</v>
      </c>
      <c r="B114" s="7">
        <v>1542.0</v>
      </c>
      <c r="C114" s="7" t="str">
        <f t="shared" si="1"/>
        <v>0</v>
      </c>
    </row>
    <row r="115" ht="14.25" customHeight="1">
      <c r="A115" s="7" t="s">
        <v>404</v>
      </c>
      <c r="B115" s="7">
        <v>1712.0</v>
      </c>
      <c r="C115" s="7" t="str">
        <f t="shared" si="1"/>
        <v>0</v>
      </c>
    </row>
    <row r="116" ht="14.25" customHeight="1">
      <c r="A116" s="7" t="s">
        <v>408</v>
      </c>
      <c r="B116" s="7">
        <v>2357.0</v>
      </c>
      <c r="C116" s="7" t="str">
        <f t="shared" si="1"/>
        <v>0</v>
      </c>
    </row>
    <row r="117" ht="14.25" customHeight="1">
      <c r="A117" s="7" t="s">
        <v>411</v>
      </c>
      <c r="B117" s="7">
        <v>1293.0</v>
      </c>
      <c r="C117" s="7" t="str">
        <f t="shared" si="1"/>
        <v>0</v>
      </c>
    </row>
    <row r="118" ht="14.25" customHeight="1">
      <c r="A118" s="7" t="s">
        <v>414</v>
      </c>
      <c r="B118" s="7">
        <v>4086.0</v>
      </c>
      <c r="C118" s="7" t="str">
        <f t="shared" si="1"/>
        <v>0</v>
      </c>
    </row>
    <row r="119" ht="14.25" customHeight="1">
      <c r="A119" s="7" t="s">
        <v>418</v>
      </c>
      <c r="B119" s="7">
        <v>4618.0</v>
      </c>
      <c r="C119" s="7" t="str">
        <f t="shared" si="1"/>
        <v>0</v>
      </c>
    </row>
    <row r="120" ht="14.25" customHeight="1">
      <c r="A120" s="7" t="s">
        <v>421</v>
      </c>
      <c r="B120" s="7">
        <v>241.0</v>
      </c>
      <c r="C120" s="7" t="str">
        <f t="shared" si="1"/>
        <v>0</v>
      </c>
    </row>
    <row r="121" ht="14.25" customHeight="1">
      <c r="A121" s="7" t="s">
        <v>424</v>
      </c>
      <c r="B121" s="7">
        <v>284.0</v>
      </c>
      <c r="C121" s="7" t="str">
        <f t="shared" si="1"/>
        <v>0</v>
      </c>
    </row>
    <row r="122" ht="14.25" customHeight="1">
      <c r="A122" s="7" t="s">
        <v>427</v>
      </c>
      <c r="B122" s="7">
        <v>572.0</v>
      </c>
      <c r="C122" s="7" t="str">
        <f t="shared" si="1"/>
        <v>0</v>
      </c>
    </row>
    <row r="123" ht="14.25" customHeight="1">
      <c r="A123" s="7" t="s">
        <v>430</v>
      </c>
      <c r="B123" s="7">
        <v>150.0</v>
      </c>
      <c r="C123" s="7" t="str">
        <f t="shared" si="1"/>
        <v>0</v>
      </c>
    </row>
    <row r="124" ht="14.25" customHeight="1">
      <c r="A124" s="7" t="s">
        <v>23</v>
      </c>
      <c r="B124" s="7">
        <v>9359.0</v>
      </c>
      <c r="C124" s="7" t="str">
        <f t="shared" si="1"/>
        <v>0</v>
      </c>
    </row>
    <row r="125" ht="14.25" customHeight="1">
      <c r="A125" s="7" t="s">
        <v>435</v>
      </c>
      <c r="B125" s="7">
        <v>233.0</v>
      </c>
      <c r="C125" s="7" t="str">
        <f t="shared" si="1"/>
        <v>0</v>
      </c>
    </row>
    <row r="126" ht="14.25" customHeight="1">
      <c r="A126" s="7" t="s">
        <v>438</v>
      </c>
      <c r="B126" s="7">
        <v>650.0</v>
      </c>
      <c r="C126" s="7" t="str">
        <f t="shared" si="1"/>
        <v>0</v>
      </c>
    </row>
    <row r="127" ht="14.25" customHeight="1">
      <c r="A127" s="7" t="s">
        <v>223</v>
      </c>
      <c r="B127" s="7">
        <v>834.0</v>
      </c>
      <c r="C127" s="7" t="str">
        <f t="shared" si="1"/>
        <v>0</v>
      </c>
    </row>
    <row r="128" ht="14.25" customHeight="1">
      <c r="A128" s="7" t="s">
        <v>444</v>
      </c>
      <c r="B128" s="7">
        <v>899.0</v>
      </c>
      <c r="C128" s="7" t="str">
        <f t="shared" si="1"/>
        <v>0</v>
      </c>
    </row>
    <row r="129" ht="14.25" customHeight="1">
      <c r="A129" s="7" t="s">
        <v>447</v>
      </c>
      <c r="B129" s="7">
        <v>1598.0</v>
      </c>
      <c r="C129" s="7" t="str">
        <f t="shared" si="1"/>
        <v>0</v>
      </c>
    </row>
    <row r="130" ht="14.25" customHeight="1">
      <c r="A130" s="7" t="s">
        <v>45</v>
      </c>
      <c r="B130" s="7">
        <v>5619.0</v>
      </c>
      <c r="C130" s="7" t="str">
        <f t="shared" si="1"/>
        <v>0</v>
      </c>
    </row>
    <row r="131" ht="14.25" customHeight="1">
      <c r="A131" s="7" t="s">
        <v>374</v>
      </c>
      <c r="B131" s="7">
        <v>6585.0</v>
      </c>
      <c r="C131" s="7" t="str">
        <f t="shared" si="1"/>
        <v>0</v>
      </c>
    </row>
    <row r="132" ht="14.25" customHeight="1">
      <c r="A132" s="7" t="s">
        <v>454</v>
      </c>
      <c r="B132" s="7">
        <v>358.0</v>
      </c>
      <c r="C132" s="7" t="str">
        <f t="shared" si="1"/>
        <v>0</v>
      </c>
    </row>
    <row r="133" ht="14.25" customHeight="1">
      <c r="A133" s="7" t="s">
        <v>457</v>
      </c>
      <c r="B133" s="7">
        <v>2065.0</v>
      </c>
      <c r="C133" s="7" t="str">
        <f t="shared" si="1"/>
        <v>0</v>
      </c>
    </row>
    <row r="134" ht="14.25" customHeight="1">
      <c r="A134" s="7" t="s">
        <v>91</v>
      </c>
      <c r="B134" s="7">
        <v>16895.0</v>
      </c>
      <c r="C134" s="7" t="str">
        <f t="shared" si="1"/>
        <v>0</v>
      </c>
    </row>
    <row r="135" ht="14.25" customHeight="1">
      <c r="A135" s="7" t="s">
        <v>462</v>
      </c>
      <c r="B135" s="7">
        <v>383.0</v>
      </c>
      <c r="C135" s="7" t="str">
        <f t="shared" si="1"/>
        <v>0</v>
      </c>
    </row>
    <row r="136" ht="14.25" customHeight="1">
      <c r="A136" s="7" t="s">
        <v>153</v>
      </c>
      <c r="B136" s="7">
        <v>1243.0</v>
      </c>
      <c r="C136" s="7" t="str">
        <f t="shared" si="1"/>
        <v>0</v>
      </c>
    </row>
    <row r="137" ht="14.25" customHeight="1">
      <c r="A137" s="7" t="s">
        <v>467</v>
      </c>
      <c r="B137" s="7">
        <v>648.0</v>
      </c>
      <c r="C137" s="7" t="str">
        <f t="shared" si="1"/>
        <v>0</v>
      </c>
    </row>
    <row r="138" ht="14.25" customHeight="1">
      <c r="A138" s="7" t="s">
        <v>227</v>
      </c>
      <c r="B138" s="7">
        <v>1225.0</v>
      </c>
      <c r="C138" s="7" t="str">
        <f t="shared" si="1"/>
        <v>0</v>
      </c>
    </row>
    <row r="139" ht="14.25" customHeight="1">
      <c r="A139" s="7" t="s">
        <v>472</v>
      </c>
      <c r="B139" s="7">
        <v>299.0</v>
      </c>
      <c r="C139" s="7" t="str">
        <f t="shared" si="1"/>
        <v>0</v>
      </c>
    </row>
    <row r="140" ht="14.25" customHeight="1">
      <c r="A140" s="7" t="s">
        <v>475</v>
      </c>
      <c r="B140" s="7">
        <v>406.0</v>
      </c>
      <c r="C140" s="7" t="str">
        <f t="shared" si="1"/>
        <v>0</v>
      </c>
    </row>
    <row r="141" ht="14.25" customHeight="1">
      <c r="A141" s="7" t="s">
        <v>478</v>
      </c>
      <c r="B141" s="7">
        <v>580.0</v>
      </c>
      <c r="C141" s="7" t="str">
        <f t="shared" si="1"/>
        <v>0</v>
      </c>
    </row>
    <row r="142" ht="14.25" customHeight="1">
      <c r="A142" s="7" t="s">
        <v>481</v>
      </c>
      <c r="B142" s="7">
        <v>90.0</v>
      </c>
      <c r="C142" s="7" t="str">
        <f t="shared" si="1"/>
        <v>0</v>
      </c>
    </row>
    <row r="143" ht="14.25" customHeight="1">
      <c r="A143" s="7" t="s">
        <v>484</v>
      </c>
      <c r="B143" s="7">
        <v>1409.0</v>
      </c>
      <c r="C143" s="7" t="str">
        <f t="shared" si="1"/>
        <v>0</v>
      </c>
    </row>
    <row r="144" ht="14.25" customHeight="1">
      <c r="A144" s="7" t="s">
        <v>487</v>
      </c>
      <c r="B144" s="7">
        <v>298.0</v>
      </c>
      <c r="C144" s="7" t="str">
        <f t="shared" si="1"/>
        <v>0</v>
      </c>
    </row>
    <row r="145" ht="14.25" customHeight="1">
      <c r="A145" s="7" t="s">
        <v>490</v>
      </c>
      <c r="B145" s="7">
        <v>911.0</v>
      </c>
      <c r="C145" s="7" t="str">
        <f t="shared" si="1"/>
        <v>0</v>
      </c>
    </row>
    <row r="146" ht="14.25" customHeight="1">
      <c r="A146" s="7" t="s">
        <v>493</v>
      </c>
      <c r="B146" s="7">
        <v>137.0</v>
      </c>
      <c r="C146" s="7" t="str">
        <f t="shared" si="1"/>
        <v>0</v>
      </c>
    </row>
    <row r="147" ht="14.25" customHeight="1">
      <c r="A147" s="7" t="s">
        <v>499</v>
      </c>
      <c r="B147" s="7">
        <v>130.0</v>
      </c>
      <c r="C147" s="7" t="str">
        <f t="shared" si="1"/>
        <v>0</v>
      </c>
    </row>
    <row r="148" ht="14.25" customHeight="1">
      <c r="A148" s="7" t="s">
        <v>187</v>
      </c>
      <c r="B148" s="7">
        <v>1749.0</v>
      </c>
      <c r="C148" s="7" t="str">
        <f t="shared" si="1"/>
        <v>0</v>
      </c>
    </row>
    <row r="149" ht="14.25" customHeight="1">
      <c r="A149" s="7" t="s">
        <v>504</v>
      </c>
      <c r="B149" s="7">
        <v>1470.0</v>
      </c>
      <c r="C149" s="7" t="str">
        <f t="shared" si="1"/>
        <v>0</v>
      </c>
    </row>
    <row r="150" ht="14.25" customHeight="1">
      <c r="A150" s="7" t="s">
        <v>16</v>
      </c>
      <c r="B150" s="7">
        <v>39412.0</v>
      </c>
      <c r="C150" s="7" t="str">
        <f t="shared" si="1"/>
        <v>0</v>
      </c>
    </row>
    <row r="151" ht="14.25" customHeight="1">
      <c r="A151" s="7" t="s">
        <v>509</v>
      </c>
      <c r="B151" s="7">
        <v>498.0</v>
      </c>
      <c r="C151" s="7" t="str">
        <f t="shared" si="1"/>
        <v>0</v>
      </c>
    </row>
    <row r="152" ht="14.25" customHeight="1">
      <c r="A152" s="7" t="s">
        <v>512</v>
      </c>
      <c r="B152" s="7">
        <v>373.0</v>
      </c>
      <c r="C152" s="7" t="str">
        <f t="shared" si="1"/>
        <v>0</v>
      </c>
    </row>
    <row r="153" ht="14.25" customHeight="1">
      <c r="A153" s="7" t="s">
        <v>515</v>
      </c>
      <c r="B153" s="7">
        <v>216.0</v>
      </c>
      <c r="C153" s="7" t="str">
        <f t="shared" si="1"/>
        <v>0</v>
      </c>
    </row>
    <row r="154" ht="14.25" customHeight="1">
      <c r="A154" s="7" t="s">
        <v>518</v>
      </c>
      <c r="B154" s="7">
        <v>444.0</v>
      </c>
      <c r="C154" s="7" t="str">
        <f t="shared" si="1"/>
        <v>0</v>
      </c>
    </row>
    <row r="155" ht="14.25" customHeight="1">
      <c r="A155" s="7" t="s">
        <v>721</v>
      </c>
      <c r="B155" s="7">
        <v>782.0</v>
      </c>
      <c r="C155" s="7" t="str">
        <f t="shared" si="1"/>
        <v>0</v>
      </c>
    </row>
    <row r="156" ht="14.25" customHeight="1">
      <c r="A156" s="7" t="s">
        <v>521</v>
      </c>
      <c r="B156" s="7">
        <v>267.0</v>
      </c>
      <c r="C156" s="7" t="str">
        <f t="shared" si="1"/>
        <v>0</v>
      </c>
    </row>
    <row r="157" ht="14.25" customHeight="1">
      <c r="A157" s="7" t="s">
        <v>524</v>
      </c>
      <c r="B157" s="7">
        <v>200.0</v>
      </c>
      <c r="C157" s="7" t="str">
        <f t="shared" si="1"/>
        <v>0</v>
      </c>
    </row>
    <row r="158" ht="14.25" customHeight="1">
      <c r="A158" s="7" t="s">
        <v>527</v>
      </c>
      <c r="B158" s="7">
        <v>1190.0</v>
      </c>
      <c r="C158" s="7" t="str">
        <f t="shared" si="1"/>
        <v>0</v>
      </c>
    </row>
    <row r="159" ht="14.25" customHeight="1">
      <c r="A159" s="7" t="s">
        <v>530</v>
      </c>
      <c r="B159" s="7">
        <v>86.0</v>
      </c>
      <c r="C159" s="7" t="str">
        <f t="shared" si="1"/>
        <v>0</v>
      </c>
    </row>
    <row r="160" ht="14.25" customHeight="1">
      <c r="A160" s="7" t="s">
        <v>533</v>
      </c>
      <c r="B160" s="7">
        <v>263.0</v>
      </c>
      <c r="C160" s="7" t="str">
        <f t="shared" si="1"/>
        <v>0</v>
      </c>
    </row>
    <row r="161" ht="14.25" customHeight="1">
      <c r="A161" s="7" t="s">
        <v>536</v>
      </c>
      <c r="B161" s="7">
        <v>356.0</v>
      </c>
      <c r="C161" s="7" t="str">
        <f t="shared" si="1"/>
        <v>0</v>
      </c>
    </row>
    <row r="162" ht="14.25" customHeight="1">
      <c r="A162" s="7" t="s">
        <v>539</v>
      </c>
      <c r="B162" s="7">
        <v>312.0</v>
      </c>
      <c r="C162" s="7" t="str">
        <f t="shared" si="1"/>
        <v>0</v>
      </c>
    </row>
    <row r="163" ht="14.25" customHeight="1">
      <c r="A163" s="7" t="s">
        <v>542</v>
      </c>
      <c r="B163" s="7">
        <v>246.0</v>
      </c>
      <c r="C163" s="7" t="str">
        <f t="shared" si="1"/>
        <v>0</v>
      </c>
    </row>
    <row r="164" ht="14.25" customHeight="1">
      <c r="A164" s="7" t="s">
        <v>709</v>
      </c>
      <c r="B164" s="7">
        <v>1326.0</v>
      </c>
      <c r="C164" s="7" t="str">
        <f t="shared" si="1"/>
        <v>0</v>
      </c>
    </row>
    <row r="165" ht="14.25" customHeight="1">
      <c r="A165" s="7" t="s">
        <v>545</v>
      </c>
      <c r="B165" s="7">
        <v>75.0</v>
      </c>
      <c r="C165" s="7" t="str">
        <f t="shared" si="1"/>
        <v>0</v>
      </c>
    </row>
    <row r="166" ht="14.25" customHeight="1">
      <c r="A166" s="7" t="s">
        <v>356</v>
      </c>
      <c r="B166" s="7">
        <v>538.0</v>
      </c>
      <c r="C166" s="7" t="str">
        <f t="shared" si="1"/>
        <v>0</v>
      </c>
    </row>
    <row r="167" ht="14.25" customHeight="1">
      <c r="A167" s="7" t="s">
        <v>550</v>
      </c>
      <c r="B167" s="7">
        <v>257.0</v>
      </c>
      <c r="C167" s="7" t="str">
        <f t="shared" si="1"/>
        <v>0</v>
      </c>
    </row>
    <row r="168" ht="14.25" customHeight="1">
      <c r="A168" s="7" t="s">
        <v>553</v>
      </c>
      <c r="B168" s="7">
        <v>723.0</v>
      </c>
      <c r="C168" s="7" t="str">
        <f t="shared" si="1"/>
        <v>0</v>
      </c>
    </row>
    <row r="169" ht="14.25" customHeight="1">
      <c r="A169" s="7" t="s">
        <v>556</v>
      </c>
      <c r="B169" s="7">
        <v>301.0</v>
      </c>
      <c r="C169" s="7" t="str">
        <f t="shared" si="1"/>
        <v>0</v>
      </c>
    </row>
    <row r="170" ht="14.25" customHeight="1">
      <c r="A170" s="7" t="s">
        <v>559</v>
      </c>
      <c r="B170" s="7">
        <v>319.0</v>
      </c>
      <c r="C170" s="7" t="str">
        <f t="shared" si="1"/>
        <v>0</v>
      </c>
    </row>
    <row r="171" ht="14.25" customHeight="1">
      <c r="A171" s="7" t="s">
        <v>562</v>
      </c>
      <c r="B171" s="7">
        <v>280.0</v>
      </c>
      <c r="C171" s="7" t="str">
        <f t="shared" si="1"/>
        <v>0</v>
      </c>
    </row>
    <row r="172" ht="14.25" customHeight="1">
      <c r="A172" s="7" t="s">
        <v>565</v>
      </c>
      <c r="B172" s="7">
        <v>284.0</v>
      </c>
      <c r="C172" s="7" t="str">
        <f t="shared" si="1"/>
        <v>0</v>
      </c>
    </row>
    <row r="173" ht="14.25" customHeight="1">
      <c r="A173" s="7" t="s">
        <v>208</v>
      </c>
      <c r="B173" s="7">
        <v>475.0</v>
      </c>
      <c r="C173" s="7" t="str">
        <f t="shared" si="1"/>
        <v>0</v>
      </c>
    </row>
    <row r="174" ht="14.25" customHeight="1">
      <c r="A174" s="7" t="s">
        <v>570</v>
      </c>
      <c r="B174" s="7">
        <v>245.0</v>
      </c>
      <c r="C174" s="7" t="str">
        <f t="shared" si="1"/>
        <v>0</v>
      </c>
    </row>
    <row r="175" ht="14.25" customHeight="1">
      <c r="A175" s="7" t="s">
        <v>573</v>
      </c>
      <c r="B175" s="7">
        <v>361.0</v>
      </c>
      <c r="C175" s="7" t="str">
        <f t="shared" si="1"/>
        <v>0</v>
      </c>
    </row>
    <row r="176" ht="14.25" customHeight="1">
      <c r="A176" s="7" t="s">
        <v>576</v>
      </c>
      <c r="B176" s="7">
        <v>713.0</v>
      </c>
      <c r="C176" s="7" t="str">
        <f t="shared" si="1"/>
        <v>0</v>
      </c>
    </row>
    <row r="177" ht="14.25" customHeight="1">
      <c r="A177" s="7" t="s">
        <v>579</v>
      </c>
      <c r="B177" s="7">
        <v>947.0</v>
      </c>
      <c r="C177" s="7" t="str">
        <f t="shared" si="1"/>
        <v>0</v>
      </c>
    </row>
    <row r="178" ht="14.25" customHeight="1">
      <c r="A178" s="7" t="s">
        <v>582</v>
      </c>
      <c r="B178" s="7">
        <v>181.0</v>
      </c>
      <c r="C178" s="7" t="str">
        <f t="shared" si="1"/>
        <v>0</v>
      </c>
    </row>
    <row r="179" ht="14.25" customHeight="1">
      <c r="A179" s="7" t="s">
        <v>440</v>
      </c>
      <c r="B179" s="7">
        <v>1493.0</v>
      </c>
      <c r="C179" s="7" t="str">
        <f t="shared" si="1"/>
        <v>0</v>
      </c>
    </row>
    <row r="180" ht="14.25" customHeight="1">
      <c r="A180" s="7" t="s">
        <v>587</v>
      </c>
      <c r="B180" s="7">
        <v>405.0</v>
      </c>
      <c r="C180" s="7" t="str">
        <f t="shared" si="1"/>
        <v>0</v>
      </c>
    </row>
    <row r="181" ht="14.25" customHeight="1">
      <c r="A181" s="7" t="s">
        <v>590</v>
      </c>
      <c r="B181" s="7">
        <v>2020.0</v>
      </c>
      <c r="C181" s="7" t="str">
        <f t="shared" si="1"/>
        <v>0</v>
      </c>
    </row>
    <row r="182" ht="14.25" customHeight="1">
      <c r="A182" s="7" t="s">
        <v>365</v>
      </c>
      <c r="B182" s="7">
        <v>776.0</v>
      </c>
      <c r="C182" s="7" t="str">
        <f t="shared" si="1"/>
        <v>0</v>
      </c>
    </row>
    <row r="183" ht="14.25" customHeight="1">
      <c r="A183" s="7" t="s">
        <v>595</v>
      </c>
      <c r="B183" s="7">
        <v>302.0</v>
      </c>
      <c r="C183" s="7" t="str">
        <f t="shared" si="1"/>
        <v>0</v>
      </c>
    </row>
    <row r="184" ht="14.25" customHeight="1">
      <c r="A184" s="7" t="s">
        <v>598</v>
      </c>
      <c r="B184" s="7">
        <v>7273.0</v>
      </c>
      <c r="C184" s="7" t="str">
        <f t="shared" si="1"/>
        <v>0</v>
      </c>
    </row>
    <row r="185" ht="14.25" customHeight="1">
      <c r="A185" s="7" t="s">
        <v>601</v>
      </c>
      <c r="B185" s="7">
        <v>763.0</v>
      </c>
      <c r="C185" s="7" t="str">
        <f t="shared" si="1"/>
        <v>0</v>
      </c>
    </row>
    <row r="186" ht="14.25" customHeight="1">
      <c r="A186" s="7" t="s">
        <v>718</v>
      </c>
      <c r="B186" s="7">
        <v>844.0</v>
      </c>
      <c r="C186" s="7" t="str">
        <f t="shared" si="1"/>
        <v>0</v>
      </c>
    </row>
    <row r="187" ht="14.25" customHeight="1">
      <c r="A187" s="7" t="s">
        <v>604</v>
      </c>
      <c r="B187" s="7">
        <v>164.0</v>
      </c>
      <c r="C187" s="7" t="str">
        <f t="shared" si="1"/>
        <v>0</v>
      </c>
    </row>
    <row r="188" ht="14.25" customHeight="1">
      <c r="A188" s="7" t="s">
        <v>607</v>
      </c>
      <c r="B188" s="7">
        <v>985.0</v>
      </c>
      <c r="C188" s="7" t="str">
        <f t="shared" si="1"/>
        <v>0</v>
      </c>
    </row>
    <row r="189" ht="14.25" customHeight="1">
      <c r="A189" s="7" t="s">
        <v>179</v>
      </c>
      <c r="B189" s="7">
        <v>483.0</v>
      </c>
      <c r="C189" s="7" t="str">
        <f t="shared" si="1"/>
        <v>0</v>
      </c>
    </row>
    <row r="190" ht="14.25" customHeight="1">
      <c r="A190" s="7" t="s">
        <v>621</v>
      </c>
      <c r="B190" s="7">
        <v>529.0</v>
      </c>
      <c r="C190" s="7" t="str">
        <f t="shared" si="1"/>
        <v>0</v>
      </c>
    </row>
    <row r="191" ht="14.25" customHeight="1">
      <c r="A191" s="7" t="s">
        <v>613</v>
      </c>
      <c r="B191" s="7">
        <v>662.0</v>
      </c>
      <c r="C191" s="7" t="str">
        <f t="shared" si="1"/>
        <v>0</v>
      </c>
    </row>
    <row r="192" ht="14.25" customHeight="1">
      <c r="A192" s="7" t="s">
        <v>616</v>
      </c>
      <c r="B192" s="7">
        <v>1050.0</v>
      </c>
      <c r="C192" s="7" t="str">
        <f t="shared" si="1"/>
        <v>0</v>
      </c>
    </row>
    <row r="193" ht="14.25" customHeight="1">
      <c r="A193" s="7" t="s">
        <v>626</v>
      </c>
      <c r="B193" s="7">
        <v>519.0</v>
      </c>
      <c r="C193" s="7" t="str">
        <f t="shared" si="1"/>
        <v>0</v>
      </c>
    </row>
    <row r="194" ht="14.25" customHeight="1">
      <c r="A194" s="7" t="s">
        <v>175</v>
      </c>
      <c r="B194" s="7">
        <v>2819.0</v>
      </c>
      <c r="C194" s="7" t="str">
        <f t="shared" si="1"/>
        <v>0</v>
      </c>
    </row>
    <row r="195" ht="14.25" customHeight="1">
      <c r="A195" s="7" t="s">
        <v>629</v>
      </c>
      <c r="B195" s="7">
        <v>611.0</v>
      </c>
      <c r="C195" s="7" t="str">
        <f t="shared" si="1"/>
        <v>0</v>
      </c>
    </row>
    <row r="196" ht="14.25" customHeight="1">
      <c r="A196" s="7" t="s">
        <v>632</v>
      </c>
      <c r="B196" s="7">
        <v>739.0</v>
      </c>
      <c r="C196" s="7" t="str">
        <f t="shared" si="1"/>
        <v>0</v>
      </c>
    </row>
    <row r="197" ht="14.25" customHeight="1">
      <c r="A197" s="7" t="s">
        <v>635</v>
      </c>
      <c r="B197" s="7">
        <v>1682.0</v>
      </c>
      <c r="C197" s="7" t="str">
        <f t="shared" si="1"/>
        <v>0</v>
      </c>
    </row>
    <row r="198" ht="14.25" customHeight="1">
      <c r="A198" s="7" t="s">
        <v>639</v>
      </c>
      <c r="B198" s="7">
        <v>567.0</v>
      </c>
      <c r="C198" s="7" t="str">
        <f t="shared" si="1"/>
        <v>0</v>
      </c>
    </row>
    <row r="199" ht="14.25" customHeight="1">
      <c r="A199" s="7" t="s">
        <v>75</v>
      </c>
      <c r="B199" s="7">
        <v>8605.0</v>
      </c>
      <c r="C199" s="7" t="str">
        <f t="shared" si="1"/>
        <v>0</v>
      </c>
    </row>
    <row r="200" ht="14.25" customHeight="1">
      <c r="A200" s="7" t="s">
        <v>644</v>
      </c>
      <c r="B200" s="7">
        <v>311.0</v>
      </c>
      <c r="C200" s="7" t="str">
        <f t="shared" si="1"/>
        <v>0</v>
      </c>
    </row>
    <row r="201" ht="14.25" customHeight="1">
      <c r="A201" s="7" t="s">
        <v>647</v>
      </c>
      <c r="B201" s="7">
        <v>109.0</v>
      </c>
      <c r="C201" s="7" t="str">
        <f t="shared" si="1"/>
        <v>0</v>
      </c>
    </row>
    <row r="202" ht="14.25" customHeight="1">
      <c r="A202" s="7" t="s">
        <v>55</v>
      </c>
      <c r="B202" s="7">
        <v>1104.0</v>
      </c>
      <c r="C202" s="7" t="str">
        <f t="shared" si="1"/>
        <v>0</v>
      </c>
    </row>
    <row r="203" ht="14.25" customHeight="1">
      <c r="A203" s="7" t="s">
        <v>652</v>
      </c>
      <c r="B203" s="7">
        <v>194.0</v>
      </c>
      <c r="C203" s="7" t="str">
        <f t="shared" si="1"/>
        <v>0</v>
      </c>
    </row>
    <row r="204" ht="14.25" customHeight="1">
      <c r="A204" s="7" t="s">
        <v>654</v>
      </c>
      <c r="B204" s="7">
        <v>339.0</v>
      </c>
      <c r="C204" s="7" t="str">
        <f t="shared" si="1"/>
        <v>0</v>
      </c>
    </row>
    <row r="205" ht="14.25" customHeight="1">
      <c r="A205" s="7" t="s">
        <v>657</v>
      </c>
      <c r="B205" s="7">
        <v>215.0</v>
      </c>
      <c r="C205" s="7" t="str">
        <f t="shared" si="1"/>
        <v>0</v>
      </c>
    </row>
    <row r="206" ht="14.25" customHeight="1">
      <c r="A206" s="7" t="s">
        <v>660</v>
      </c>
      <c r="B206" s="7">
        <v>636.0</v>
      </c>
      <c r="C206" s="7" t="str">
        <f t="shared" si="1"/>
        <v>0</v>
      </c>
    </row>
    <row r="207" ht="14.25" customHeight="1">
      <c r="A207" s="7" t="s">
        <v>61</v>
      </c>
      <c r="B207" s="7">
        <v>5236.0</v>
      </c>
      <c r="C207" s="7" t="str">
        <f t="shared" si="1"/>
        <v>0</v>
      </c>
    </row>
    <row r="208" ht="14.25" customHeight="1">
      <c r="A208" s="7" t="s">
        <v>665</v>
      </c>
      <c r="B208" s="7">
        <v>467.0</v>
      </c>
      <c r="C208" s="7" t="str">
        <f t="shared" si="1"/>
        <v>0</v>
      </c>
    </row>
    <row r="209" ht="14.25" customHeight="1">
      <c r="A209" s="7" t="s">
        <v>288</v>
      </c>
      <c r="B209" s="7">
        <v>2106.0</v>
      </c>
      <c r="C209" s="7" t="str">
        <f t="shared" si="1"/>
        <v>0</v>
      </c>
    </row>
    <row r="210" ht="14.25" customHeight="1">
      <c r="A210" s="7" t="s">
        <v>712</v>
      </c>
      <c r="B210" s="7">
        <v>848.0</v>
      </c>
      <c r="C210" s="7" t="str">
        <f t="shared" si="1"/>
        <v>0</v>
      </c>
    </row>
    <row r="211" ht="14.25" customHeight="1">
      <c r="A211" s="7" t="s">
        <v>670</v>
      </c>
      <c r="B211" s="7">
        <v>225.0</v>
      </c>
      <c r="C211" s="7" t="str">
        <f t="shared" si="1"/>
        <v>0</v>
      </c>
    </row>
    <row r="212" ht="14.25" customHeight="1">
      <c r="A212" s="7" t="s">
        <v>673</v>
      </c>
      <c r="B212" s="7">
        <v>438.0</v>
      </c>
      <c r="C212" s="7" t="str">
        <f t="shared" si="1"/>
        <v>0</v>
      </c>
    </row>
    <row r="213" ht="14.25" customHeight="1">
      <c r="A213" s="7" t="s">
        <v>676</v>
      </c>
      <c r="B213" s="7">
        <v>116.0</v>
      </c>
      <c r="C213" s="7" t="str">
        <f t="shared" si="1"/>
        <v>0</v>
      </c>
    </row>
    <row r="214" ht="14.25" customHeight="1">
      <c r="A214" s="7" t="s">
        <v>679</v>
      </c>
      <c r="B214" s="7">
        <v>276.0</v>
      </c>
      <c r="C214" s="7" t="str">
        <f t="shared" si="1"/>
        <v>0</v>
      </c>
    </row>
    <row r="215" ht="14.25" customHeight="1">
      <c r="A215" s="7" t="s">
        <v>682</v>
      </c>
      <c r="B215" s="7">
        <v>379.0</v>
      </c>
      <c r="C215" s="7" t="str">
        <f t="shared" si="1"/>
        <v>0</v>
      </c>
    </row>
    <row r="216" ht="14.25" customHeight="1">
      <c r="A216" s="7" t="s">
        <v>685</v>
      </c>
      <c r="B216" s="7">
        <v>496.0</v>
      </c>
      <c r="C216" s="7" t="str">
        <f t="shared" si="1"/>
        <v>0</v>
      </c>
    </row>
    <row r="217" ht="14.25" customHeight="1">
      <c r="A217" s="7" t="s">
        <v>402</v>
      </c>
      <c r="B217" s="7">
        <v>2087.0</v>
      </c>
      <c r="C217" s="7" t="str">
        <f t="shared" si="1"/>
        <v>0</v>
      </c>
    </row>
    <row r="218" ht="14.25" customHeight="1">
      <c r="A218" s="7" t="s">
        <v>692</v>
      </c>
      <c r="B218" s="7">
        <v>230.0</v>
      </c>
      <c r="C218" s="7" t="str">
        <f t="shared" si="1"/>
        <v>0</v>
      </c>
    </row>
    <row r="219" ht="14.25" customHeight="1">
      <c r="A219" s="7" t="s">
        <v>216</v>
      </c>
      <c r="B219" s="7">
        <v>548.0</v>
      </c>
      <c r="C219" s="7" t="str">
        <f t="shared" si="1"/>
        <v>0</v>
      </c>
    </row>
    <row r="220" ht="14.25" customHeight="1">
      <c r="A220" s="7" t="s">
        <v>695</v>
      </c>
      <c r="B220" s="7">
        <v>383.0</v>
      </c>
      <c r="C220" s="7" t="str">
        <f t="shared" si="1"/>
        <v>0</v>
      </c>
    </row>
    <row r="221" ht="14.25" customHeight="1">
      <c r="A221" s="7" t="s">
        <v>698</v>
      </c>
      <c r="B221" s="7">
        <v>1799.0</v>
      </c>
      <c r="C221" s="7" t="str">
        <f t="shared" si="1"/>
        <v>0</v>
      </c>
    </row>
    <row r="222" ht="14.25" customHeight="1">
      <c r="A222" s="7" t="s">
        <v>701</v>
      </c>
      <c r="B222" s="7">
        <v>515.0</v>
      </c>
      <c r="C222" s="7" t="str">
        <f t="shared" si="1"/>
        <v>0</v>
      </c>
    </row>
    <row r="223" ht="14.25" customHeight="1">
      <c r="A223" s="7" t="s">
        <v>704</v>
      </c>
      <c r="B223" s="7">
        <v>1134.0</v>
      </c>
      <c r="C223" s="7" t="str">
        <f t="shared" si="1"/>
        <v>0</v>
      </c>
    </row>
    <row r="224" ht="14.25" customHeight="1">
      <c r="A224" s="7" t="s">
        <v>66</v>
      </c>
      <c r="B224" s="7">
        <v>1267.0</v>
      </c>
      <c r="C224" s="7" t="str">
        <f t="shared" si="1"/>
        <v>0</v>
      </c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5.0"/>
    <col customWidth="1" min="3" max="3" width="17.0"/>
    <col customWidth="1" min="4" max="4" width="18.0"/>
    <col customWidth="1" min="5" max="26" width="10.63"/>
  </cols>
  <sheetData>
    <row r="1" ht="14.25" customHeight="1"/>
    <row r="2" ht="14.25" customHeight="1">
      <c r="B2" s="12" t="s">
        <v>742</v>
      </c>
      <c r="C2" s="7" t="s">
        <v>743</v>
      </c>
      <c r="D2" s="7" t="s">
        <v>744</v>
      </c>
    </row>
    <row r="3" ht="14.25" customHeight="1">
      <c r="B3" s="13" t="s">
        <v>406</v>
      </c>
      <c r="C3" s="8">
        <v>1712.0</v>
      </c>
      <c r="D3" s="7">
        <v>1.0</v>
      </c>
    </row>
    <row r="4" ht="14.25" customHeight="1">
      <c r="B4" s="13" t="s">
        <v>189</v>
      </c>
      <c r="C4" s="8">
        <v>5718.0</v>
      </c>
      <c r="D4" s="7">
        <v>6.0</v>
      </c>
    </row>
    <row r="5" ht="14.25" customHeight="1">
      <c r="B5" s="13" t="s">
        <v>18</v>
      </c>
      <c r="C5" s="8">
        <v>7379.0</v>
      </c>
      <c r="D5" s="7">
        <v>8.0</v>
      </c>
    </row>
    <row r="6" ht="14.25" customHeight="1">
      <c r="B6" s="13" t="s">
        <v>209</v>
      </c>
      <c r="C6" s="8">
        <v>7982.0</v>
      </c>
      <c r="D6" s="7">
        <v>8.0</v>
      </c>
    </row>
    <row r="7" ht="14.25" customHeight="1">
      <c r="B7" s="13" t="s">
        <v>50</v>
      </c>
      <c r="C7" s="8">
        <v>8575.0</v>
      </c>
      <c r="D7" s="7">
        <v>15.0</v>
      </c>
    </row>
    <row r="8" ht="14.25" customHeight="1">
      <c r="B8" s="13" t="s">
        <v>132</v>
      </c>
      <c r="C8" s="8">
        <v>10549.0</v>
      </c>
      <c r="D8" s="7">
        <v>11.0</v>
      </c>
    </row>
    <row r="9" ht="14.25" customHeight="1">
      <c r="B9" s="13" t="s">
        <v>203</v>
      </c>
      <c r="C9" s="8">
        <v>11353.0</v>
      </c>
      <c r="D9" s="7">
        <v>14.0</v>
      </c>
    </row>
    <row r="10" ht="14.25" customHeight="1">
      <c r="B10" s="13" t="s">
        <v>76</v>
      </c>
      <c r="C10" s="8">
        <v>12342.0</v>
      </c>
      <c r="D10" s="7">
        <v>19.0</v>
      </c>
    </row>
    <row r="11" ht="14.25" customHeight="1">
      <c r="B11" s="13" t="s">
        <v>56</v>
      </c>
      <c r="C11" s="8">
        <v>17176.0</v>
      </c>
      <c r="D11" s="7">
        <v>22.0</v>
      </c>
    </row>
    <row r="12" ht="14.25" customHeight="1">
      <c r="B12" s="13" t="s">
        <v>33</v>
      </c>
      <c r="C12" s="8">
        <v>20193.0</v>
      </c>
      <c r="D12" s="7">
        <v>20.0</v>
      </c>
    </row>
    <row r="13" ht="14.25" customHeight="1">
      <c r="B13" s="13" t="s">
        <v>92</v>
      </c>
      <c r="C13" s="8">
        <v>24053.0</v>
      </c>
      <c r="D13" s="7">
        <v>19.0</v>
      </c>
    </row>
    <row r="14" ht="14.25" customHeight="1">
      <c r="B14" s="13" t="s">
        <v>62</v>
      </c>
      <c r="C14" s="8">
        <v>24932.0</v>
      </c>
      <c r="D14" s="7">
        <v>15.0</v>
      </c>
    </row>
    <row r="15" ht="14.25" customHeight="1">
      <c r="B15" s="13" t="s">
        <v>26</v>
      </c>
      <c r="C15" s="8">
        <v>28995.0</v>
      </c>
      <c r="D15" s="7">
        <v>19.0</v>
      </c>
    </row>
    <row r="16" ht="14.25" customHeight="1">
      <c r="B16" s="13" t="s">
        <v>112</v>
      </c>
      <c r="C16" s="8">
        <v>35208.0</v>
      </c>
      <c r="D16" s="7">
        <v>17.0</v>
      </c>
    </row>
    <row r="17" ht="14.25" customHeight="1">
      <c r="B17" s="13" t="s">
        <v>40</v>
      </c>
      <c r="C17" s="8">
        <v>35640.0</v>
      </c>
      <c r="D17" s="7">
        <v>27.0</v>
      </c>
    </row>
    <row r="18" ht="14.25" customHeight="1">
      <c r="B18" s="13" t="s">
        <v>171</v>
      </c>
      <c r="C18" s="8">
        <v>135627.0</v>
      </c>
      <c r="D18" s="7">
        <v>2.0</v>
      </c>
    </row>
    <row r="19" ht="14.25" customHeight="1">
      <c r="B19" s="13" t="s">
        <v>745</v>
      </c>
      <c r="C19" s="8">
        <v>387434.0</v>
      </c>
      <c r="D19" s="7">
        <v>223.0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D$19">
    <sortState ref="B2:D19">
      <sortCondition ref="C2:C1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